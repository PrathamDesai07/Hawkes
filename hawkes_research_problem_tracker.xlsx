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roblems" sheetId="1" state="visible" r:id="rId1"/>
    <sheet name="Summary" sheetId="2" state="visible" r:id="rId2"/>
    <sheet name="Roadmap" sheetId="3" state="visible" r:id="rId3"/>
    <sheet name="Literature" sheetId="4" state="visible" r:id="rId4"/>
    <sheet name="Topic" sheetId="5" state="visible" r:id="rId5"/>
    <sheet name="Legend" sheetId="6" state="visible" r:id="rId6"/>
  </sheets>
  <definedNames>
    <definedName name="_xlnm._FilterDatabase" localSheetId="0" hidden="1">'Problems'!$A$1:$M$24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sz val="14"/>
    </font>
    <font>
      <name val="Arial"/>
      <charset val="1"/>
      <family val="0"/>
      <color rgb="FF008000"/>
      <sz val="10"/>
    </font>
    <font>
      <name val="Arial"/>
      <charset val="1"/>
      <family val="0"/>
      <i val="1"/>
      <sz val="9"/>
    </font>
    <font>
      <name val="Arial"/>
      <charset val="1"/>
      <family val="0"/>
      <b val="1"/>
      <color rgb="FF0000FF"/>
      <sz val="10"/>
    </font>
    <font>
      <name val="Arial"/>
      <charset val="1"/>
      <family val="0"/>
      <b val="1"/>
      <color rgb="FF008000"/>
      <sz val="10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3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" fontId="9" fillId="0" borderId="1" applyAlignment="1" pivotButton="0" quotePrefix="0" xfId="0">
      <alignment horizontal="general" vertical="top" wrapText="1"/>
    </xf>
    <xf numFmtId="164" fontId="9" fillId="0" borderId="1" applyAlignment="1" pivotButton="0" quotePrefix="0" xfId="0">
      <alignment horizontal="general" vertical="top" wrapText="1"/>
    </xf>
    <xf numFmtId="165" fontId="9" fillId="0" borderId="1" applyAlignment="1" pivotButton="0" quotePrefix="0" xfId="0">
      <alignment horizontal="general" vertical="top" wrapText="1"/>
    </xf>
    <xf numFmtId="1" fontId="6" fillId="0" borderId="1" applyAlignment="1" pivotButton="0" quotePrefix="0" xfId="0">
      <alignment horizontal="general" vertical="top" wrapText="1"/>
    </xf>
    <xf numFmtId="164" fontId="6" fillId="0" borderId="1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top" wrapText="1"/>
    </xf>
    <xf numFmtId="1" fontId="9" fillId="0" borderId="1" applyAlignment="1" pivotButton="0" quotePrefix="0" xfId="0">
      <alignment horizontal="center" vertical="top"/>
    </xf>
    <xf numFmtId="164" fontId="9" fillId="0" borderId="1" applyAlignment="1" pivotButton="0" quotePrefix="0" xfId="0">
      <alignment horizontal="center" vertical="top"/>
    </xf>
    <xf numFmtId="1" fontId="6" fillId="0" borderId="1" applyAlignment="1" pivotButton="0" quotePrefix="0" xfId="0">
      <alignment horizontal="center" vertical="bottom"/>
    </xf>
    <xf numFmtId="164" fontId="6" fillId="0" borderId="1" applyAlignment="1" pivotButton="0" quotePrefix="0" xfId="0">
      <alignment horizontal="center" vertical="bottom"/>
    </xf>
    <xf numFmtId="0" fontId="9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center" vertical="top" wrapText="1"/>
    </xf>
    <xf numFmtId="164" fontId="9" fillId="0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" fontId="9" fillId="0" borderId="1" applyAlignment="1" pivotButton="0" quotePrefix="0" xfId="0">
      <alignment horizontal="general" vertical="top" wrapText="1"/>
    </xf>
    <xf numFmtId="164" fontId="9" fillId="0" borderId="1" applyAlignment="1" pivotButton="0" quotePrefix="0" xfId="0">
      <alignment horizontal="general" vertical="top" wrapText="1"/>
    </xf>
    <xf numFmtId="165" fontId="9" fillId="0" borderId="1" applyAlignment="1" pivotButton="0" quotePrefix="0" xfId="0">
      <alignment horizontal="general" vertical="top" wrapText="1"/>
    </xf>
    <xf numFmtId="1" fontId="6" fillId="0" borderId="1" applyAlignment="1" pivotButton="0" quotePrefix="0" xfId="0">
      <alignment horizontal="general" vertical="top" wrapText="1"/>
    </xf>
    <xf numFmtId="164" fontId="6" fillId="0" borderId="1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top" wrapText="1"/>
    </xf>
    <xf numFmtId="1" fontId="9" fillId="0" borderId="1" applyAlignment="1" pivotButton="0" quotePrefix="0" xfId="0">
      <alignment horizontal="center" vertical="top"/>
    </xf>
    <xf numFmtId="164" fontId="9" fillId="0" borderId="1" applyAlignment="1" pivotButton="0" quotePrefix="0" xfId="0">
      <alignment horizontal="center" vertical="top"/>
    </xf>
    <xf numFmtId="1" fontId="6" fillId="0" borderId="1" applyAlignment="1" pivotButton="0" quotePrefix="0" xfId="0">
      <alignment horizontal="center" vertical="bottom"/>
    </xf>
    <xf numFmtId="164" fontId="6" fillId="0" borderId="1" applyAlignment="1" pivotButton="0" quotePrefix="0" xfId="0">
      <alignment horizontal="center" vertical="bottom"/>
    </xf>
    <xf numFmtId="0" fontId="9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center" vertical="top" wrapText="1"/>
    </xf>
    <xf numFmtId="164" fontId="9" fillId="0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C7CE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M2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26" min="1" max="1"/>
    <col width="20" customWidth="1" style="26" min="2" max="2"/>
    <col width="28" customWidth="1" style="26" min="3" max="3"/>
    <col width="62" customWidth="1" style="26" min="4" max="4"/>
    <col width="44" customWidth="1" style="26" min="5" max="5"/>
    <col width="12" customWidth="1" style="26" min="6" max="6"/>
    <col width="22" customWidth="1" style="26" min="7" max="7"/>
    <col width="10" customWidth="1" style="26" min="8" max="8"/>
    <col width="11" customWidth="1" style="26" min="9" max="9"/>
    <col width="9" customWidth="1" style="26" min="10" max="10"/>
    <col width="13" customWidth="1" style="26" min="11" max="12"/>
    <col width="28" customWidth="1" style="26" min="13" max="13"/>
  </cols>
  <sheetData>
    <row r="1" ht="31.5" customHeight="1" s="27">
      <c r="A1" s="28" t="inlineStr">
        <is>
          <t>ID</t>
        </is>
      </c>
      <c r="B1" s="28" t="inlineStr">
        <is>
          <t>Section</t>
        </is>
      </c>
      <c r="C1" s="28" t="inlineStr">
        <is>
          <t>Problem</t>
        </is>
      </c>
      <c r="D1" s="28" t="inlineStr">
        <is>
          <t>What to do</t>
        </is>
      </c>
      <c r="E1" s="28" t="inlineStr">
        <is>
          <t>Done when</t>
        </is>
      </c>
      <c r="F1" s="28" t="inlineStr">
        <is>
          <t>Contribution</t>
        </is>
      </c>
      <c r="G1" s="28" t="inlineStr">
        <is>
          <t>Phase</t>
        </is>
      </c>
      <c r="H1" s="28" t="inlineStr">
        <is>
          <t>Priority</t>
        </is>
      </c>
      <c r="I1" s="28" t="inlineStr">
        <is>
          <t>Difficulty (1-5)</t>
        </is>
      </c>
      <c r="J1" s="28" t="inlineStr">
        <is>
          <t>Est. weeks</t>
        </is>
      </c>
      <c r="K1" s="28" t="inlineStr">
        <is>
          <t>Depends on (IDs)</t>
        </is>
      </c>
      <c r="L1" s="28" t="inlineStr">
        <is>
          <t>Status</t>
        </is>
      </c>
      <c r="M1" s="28" t="inlineStr">
        <is>
          <t>Notes</t>
        </is>
      </c>
    </row>
    <row r="2" ht="73.5" customHeight="1" s="27">
      <c r="A2" s="29" t="n">
        <v>1</v>
      </c>
      <c r="B2" s="30" t="inlineStr">
        <is>
          <t>A. Foundations</t>
        </is>
      </c>
      <c r="C2" s="31" t="inlineStr">
        <is>
          <t>Verify the curvature claim</t>
        </is>
      </c>
      <c r="D2" s="30" t="inlineStr">
        <is>
          <t>Re-derive that the per-event loss l_i(θ) = −log(a_iᵀθ) + b_iᵀθ has a rank-one Hessian and is not exp-concave when b_i is not parallel to a_i. Then find the correct curvature statement: look at the expected loss, whose Hessian is the Fisher information per unit time, and bound its smallest eigenvalue on Θ_ε = {μ ≥ μ_min, α ≥ 0, n ≤ 1−ε}.</t>
        </is>
      </c>
      <c r="E2" s="30" t="inlineStr">
        <is>
          <t>A short written lemma with the counterexample, plus the corrected curvature statement and a bound on the smallest eigenvalue.</t>
        </is>
      </c>
      <c r="F2" s="29" t="inlineStr">
        <is>
          <t>C1</t>
        </is>
      </c>
      <c r="G2" s="30" t="inlineStr">
        <is>
          <t>P1 Core feasibility</t>
        </is>
      </c>
      <c r="H2" s="32" t="inlineStr">
        <is>
          <t>Critical</t>
        </is>
      </c>
      <c r="I2" s="32" t="n">
        <v>3</v>
      </c>
      <c r="J2" s="32" t="n">
        <v>1</v>
      </c>
      <c r="K2" s="29" t="n"/>
      <c r="L2" s="32" t="inlineStr">
        <is>
          <t>Done</t>
        </is>
      </c>
      <c r="M2" s="33" t="inlineStr">
        <is>
          <t>Draft done 2026-10-24. Hessian a a^T/lam^2 is rank one; exp-concavity fails whenever b not parallel to a (counterexample checked numerically). Corrected statement: expected-loss Hessian &gt;= c(theta)^-2 I(theta*), and lam_min(I) &gt;= (eps/mu)*inf_v(E|v^T a|)^2 by Cauchy-Schwarz; K=1 exact check gives lam_min ~ eps/mu. Needs your own re-derivation. Open: alpha*_k=0 case, stationarity/burn-in. See problem01_curvature_lemma.md</t>
        </is>
      </c>
    </row>
    <row r="3" ht="60" customHeight="1" s="27">
      <c r="A3" s="29" t="n">
        <v>2</v>
      </c>
      <c r="B3" s="30" t="inlineStr">
        <is>
          <t>A. Foundations</t>
        </is>
      </c>
      <c r="C3" s="31" t="inlineStr">
        <is>
          <t>Identifiability of the dictionary</t>
        </is>
      </c>
      <c r="D3" s="30" t="inlineStr">
        <is>
          <t>On a fixed β-grid, decide whether the weights α are identifiable, i.e. whether the Fisher information I(θ) is nonsingular. Nearby β_k make the exponentials almost collinear, so the condition number grows with K and with grid density. Quantify it.</t>
        </is>
      </c>
      <c r="E3" s="30" t="inlineStr">
        <is>
          <t>An explicit lower bound on λ_min(I(θ)), or on the condition number, in terms of K and the grid ratio.</t>
        </is>
      </c>
      <c r="F3" s="29" t="inlineStr">
        <is>
          <t>C1</t>
        </is>
      </c>
      <c r="G3" s="30" t="inlineStr">
        <is>
          <t>P2 Complete upper bound</t>
        </is>
      </c>
      <c r="H3" s="32" t="inlineStr">
        <is>
          <t>High</t>
        </is>
      </c>
      <c r="I3" s="32" t="n">
        <v>3</v>
      </c>
      <c r="J3" s="32" t="n">
        <v>1.5</v>
      </c>
      <c r="K3" s="29" t="inlineStr">
        <is>
          <t>1</t>
        </is>
      </c>
      <c r="L3" s="32" t="inlineStr">
        <is>
          <t>Done</t>
        </is>
      </c>
      <c r="M3" s="33" t="inlineStr">
        <is>
          <t>25 Oct 2026. problem02_identifiability.md; code/p2_window_bound.py, p2_lemma3_check.py, p2_gram_bound.py, p2_truncation_check.py, p2_truncation_bound.py. Fixed a thinning bug in p2_identifiability.py (had made lam_min ~10x too small for K&gt;=2). Findings (mu=1, beta=r^(k-1), MC 60-80k events): K&gt;=2 lam_min does NOT shrink with eps (K=2: ~0.045 at r=2, ~0.065 at r=4), cond ~ 1/eps (K=1: eps^-2); lam_min falls ~10x per added exponential (r=2: 0.069, 0.046, 0.0045 for K=1,2,3 at eps=0.1). Lower bounds: (1) Gram-matrix route is rigorous but useless (1e-6 to 1e-16 of truth, decays like eps^(2K+1)). (2) Theorem T (truncation + Lemma-B moments): lam_min(I) &gt;= (1/L)[lam_min(M) - sqrt(E|a|^4) sqrt(E lam^p / L^p)], M = E[a a^T] exact via a K^2 linear system (matches MC to 1-3%); bound is 2e-3 to 5e-2 of the MC lam_min for K&lt;=3 and non-vacuous; pure truncation without tail penalty would be within 2-8x. Open: closed-form formula in K and grid ratio, sharper tail bound, eps-sharpness for K&gt;=2. Depends on Lemma B (Problem 3 draft). Draft, not independently verified. CLOSED 25 Oct (Done): closed-form chain in K and grid ratio r: Cov(S) &gt;= (E lam/4) G (G=1/(b_i+b_j), spectral), exact E S_k = mu/(eps b_k), lam_min(M) &gt;= lam_min(C)/(1+2|m|^2), Cauchy inverse in closed form, then truncation with Lemma-1' moments; valid but 1e3-1e8 below truth (code/p2_closed_chain.py). Sharp scaling = three-tier structure (Problem 12), heuristic.</t>
        </is>
      </c>
    </row>
    <row r="4" ht="60" customHeight="1" s="27">
      <c r="A4" s="29" t="n">
        <v>3</v>
      </c>
      <c r="B4" s="30" t="inlineStr">
        <is>
          <t>A. Foundations</t>
        </is>
      </c>
      <c r="C4" s="31" t="inlineStr">
        <is>
          <t>Uniform moment and ergodicity bounds as n → 1</t>
        </is>
      </c>
      <c r="D4" s="30" t="inlineStr">
        <is>
          <t>Bound E[λ^p] and the mixing rate (spectral gap) of the Markov state (S_1, …, S_K) uniformly as n → 1. Start from E[λ] = μ/(1−n) and find how the spectral gap shrinks with ε. Without this, no concentration argument closes.</t>
        </is>
      </c>
      <c r="E4" s="30" t="inlineStr">
        <is>
          <t>A lemma with explicit ε-dependence for the moment bounds and for the mixing or contraction rate.</t>
        </is>
      </c>
      <c r="F4" s="29" t="inlineStr">
        <is>
          <t>C1, C2</t>
        </is>
      </c>
      <c r="G4" s="30" t="inlineStr">
        <is>
          <t>P1 Core feasibility</t>
        </is>
      </c>
      <c r="H4" s="32" t="inlineStr">
        <is>
          <t>Critical</t>
        </is>
      </c>
      <c r="I4" s="32" t="n">
        <v>4</v>
      </c>
      <c r="J4" s="32" t="n">
        <v>3</v>
      </c>
      <c r="K4" s="29" t="n"/>
      <c r="L4" s="32" t="inlineStr">
        <is>
          <t>Done</t>
        </is>
      </c>
      <c r="M4" s="33" t="inlineStr">
        <is>
          <t>Draft done 2026-10-24. Key identity A Z = mu - eps*lam for Z=sum(alpha_k/beta_k)S_k. Moments: E Z^p &lt;= C_p eps^-p for all p (induction, constants depend on mu,beta_min,beta_max); sub-exponential tail E exp(eps Z/e) &lt;= 2exp(4mu/(e beta_min)). Contraction in weighted Wasserstein at rate &gt;= eps*beta_min (monotone coupling); slowest mean mode gamma ~ eps/sum(alpha/beta^2), so mixing ~1/(eps*beta), independent of mu. Checked against exact moments and simulation. Needs your re-derivation. Open: true L2 gap, grid-uniform constants, sup over time horizon, non-stationary start. See problem03_moments_mixing.md</t>
        </is>
      </c>
    </row>
    <row r="5" ht="46.5" customHeight="1" s="27">
      <c r="A5" s="29" t="n">
        <v>4</v>
      </c>
      <c r="B5" s="30" t="inlineStr">
        <is>
          <t>A. Foundations</t>
        </is>
      </c>
      <c r="C5" s="31" t="inlineStr">
        <is>
          <t>Projection onto Θ_ε</t>
        </is>
      </c>
      <c r="D5" s="30" t="inlineStr">
        <is>
          <t>Design a cheap projection, in the Fisher or ONS metric, onto the polytope {μ ≥ μ_min, α ≥ 0, Σ α_k/β_k ≤ 1−ε}. This is an algorithm problem rather than a theory one, but it affects the constants.</t>
        </is>
      </c>
      <c r="E5" s="30" t="inlineStr">
        <is>
          <t>An algorithm with O(K) or O(K log K) cost, a note on its effect on the regret constants, and a working implementation.</t>
        </is>
      </c>
      <c r="F5" s="29" t="inlineStr">
        <is>
          <t>C1</t>
        </is>
      </c>
      <c r="G5" s="30" t="inlineStr">
        <is>
          <t>P2 Complete upper bound</t>
        </is>
      </c>
      <c r="H5" s="32" t="inlineStr">
        <is>
          <t>Medium</t>
        </is>
      </c>
      <c r="I5" s="32" t="n">
        <v>2</v>
      </c>
      <c r="J5" s="32" t="n">
        <v>1</v>
      </c>
      <c r="K5" s="29" t="inlineStr">
        <is>
          <t>1</t>
        </is>
      </c>
      <c r="L5" s="32" t="inlineStr">
        <is>
          <t>Done</t>
        </is>
      </c>
      <c r="M5" s="33" t="inlineStr">
        <is>
          <t>24-25 Oct 2026. problem04_projection.md, code/p4_projection.py. Exact projection onto {mu&gt;=mu_min, alpha&gt;=0, sum alpha_k/beta_k&lt;=1-eps} in a DIAGONAL metric: mu separable; alpha_k = max(0, y_k - tau*w_k/d_k), tau from sorted breakpoints, O(K log K); matches SLSQP on 300 random instances (4e-6); &lt;1 ms for K up to 1e4. Regret-constant effect: non-expansive in the update's own metric, so no extra constant; the cost is cond(D^-1/2 I D^-1/2). K=1: universal ~5.83 (rho^2-&gt;1/2), independent of eps (raw ~1e6 at eps=1e-3). K&gt;=2 (corrected 25 Oct after fixing a simulator bug): scaled cond only 1.2-3x below raw and still grows as eps falls (K=2,r=2: 118-&gt;368; K=3: 765-&gt;2477), so a diagonal metric is NOT enough for K&gt;=2. Open: dense-metric projection (QP, ~O(K^2)), O(K) version, K&gt;=2 preconditioner. Status In progress because 'Done when' asks for the Fisher/ONS metric. UPDATE 25 Oct (problem05_circularity.md): for K=1 the diagonal clip is NOT adequate: it violates non-expansiveness in 0.7-4.6% of steps and inflates regret ~10x when the box is tight (E R_n 16 vs 3.5 at eps=.1; 79 vs 5.4 at eps=.03). Exact F-norm projection onto a box is O(1) for K=1 (edge minimisers + corners) and had 0 violations in 24 configs. Use it. CLOSED 25 Oct (Done): dense F-norm projection for any K (BVLS + bisection on the budget multiplier): matches brute force to 5e-14, non-expansive (0 violations in 2000 pairs), O(K^3) per inner solve (19 ms K=2, 97 ms K=5); the diagonal O(K log K) algorithm remains for the diagonal metric (code/p4_dense_projection.py).</t>
        </is>
      </c>
    </row>
    <row r="6" ht="60" customHeight="1" s="27">
      <c r="A6" s="29" t="n">
        <v>5</v>
      </c>
      <c r="B6" s="30" t="inlineStr">
        <is>
          <t>B. Upper bound</t>
        </is>
      </c>
      <c r="C6" s="31" t="inlineStr">
        <is>
          <t>Stochastic ONS or recursive-MLE analysis</t>
        </is>
      </c>
      <c r="D6" s="30" t="inlineStr">
        <is>
          <t>Prove a regret or excess-risk bound for the Fisher-preconditioned update when data come from the true Hawkes law (or a nearby one). Tools: the score is a martingale difference, Freedman-type concentration, and iterates that are adapted to the path.</t>
        </is>
      </c>
      <c r="E6" s="30" t="inlineStr">
        <is>
          <t>A theorem with proof, in expectation or with high probability, under stated assumptions.</t>
        </is>
      </c>
      <c r="F6" s="29" t="inlineStr">
        <is>
          <t>C1, C2</t>
        </is>
      </c>
      <c r="G6" s="30" t="inlineStr">
        <is>
          <t>P1 Core feasibility</t>
        </is>
      </c>
      <c r="H6" s="32" t="inlineStr">
        <is>
          <t>Critical</t>
        </is>
      </c>
      <c r="I6" s="32" t="n">
        <v>5</v>
      </c>
      <c r="J6" s="32" t="n">
        <v>4</v>
      </c>
      <c r="K6" s="29" t="inlineStr">
        <is>
          <t>1, 3, 4</t>
        </is>
      </c>
      <c r="L6" s="32" t="inlineStr">
        <is>
          <t>Done</t>
        </is>
      </c>
      <c r="M6" s="33" t="inlineStr">
        <is>
          <t>25 Oct 2026. problem05_online_newton.md; code/p5_*.py. First pass, K=1 only. Proposition 1 (rigorous, short): for the unprojected Fisher-scoring/online-Newton update, E&lt;g_i,v_i | past&gt; = E[v_i' dF_i v_i | past] exactly (first-event compensator identity), hence E R_n &lt;= ||th_1-th*||^2_{F_0} + E sum g_i' F_i^-1 g_i, no exp-concavity needed. Checked numerically (pathwise identity to 1e-13; expectation identity within SE; bound ~2x loose). Empirical: regret slope (d/2) in log n; E[R_n - log T_n] ~ flat in eps (-1.2,-2.3,-2.4,-2.8 for eps=.3,.1,.03,.01): no visible +C log(1/eps) in time units; apparent 0.5/eps burn-in cost was the prior term rho0*|th_1-th*|^2, vanishes with a weak prior. NOT proven: bound on G (needs leverage bound a'F^-1 a/lam = O(1) and local control, i.e. Problem 7), sharp constant 1/2 (needs localisation), projected algorithm (diag projection not non-expansive in F-norm; unprojected iterates exit Theta_eps in 55-85% of runs), K&gt;=2, high-probability version. Draft, not independently verified. UPDATE 25 Oct: problem05_fisher_concentration.md (K=1, oracle information): Lemma F1 var(int h(S_t)dt) &lt;= 2T Lip sqrt(m) sigma_S/gamma via the Problem-3 contraction; Lemma F2 two-interval bound J_T &gt;= (O/L) Q (exact, deterministic); Theorem F: J_T &gt;= (mT/4L) Q w.p. &gt;=1-2q for all T&gt;=T0=16 sigma_S/(rho gamma m^1.5 q) = O(1/(beta eps)), so Theorem-7 leverage assumptions hold w.h.p. given (L1). Numerics: variance bound holds with 500-1500x margin; pathwise leverage bound 0 violations in ~1300 checks; rigorous T0*gamma ~ 4e5 vs empirical ~20-50 (Chebyshev, 1e4x conservative). OPEN: circularity (L1 needs consistency which needs the information bound), Assumption M (pi-mass of bumps, numerical), exponential tails, projection, K&gt;=2. UPDATE 25 Oct (problem05_circularity.md): circularity avoided by design, not by a consistency bootstrap: compact box Theta_c known a priori + exact F-norm projection =&gt; (L1) holds deterministically (c+=max(mu_hi/mu*,al_hi/al*), c-=min(...)); Prop 1 survives projection (non-expansiveness in F-norm); leverage w.h.p. after T0=O(1/(beta eps)) via Theorem F. Numerics (K=1): R_n - log T_n between -4.4 and -0.5 in 24 configs, 0 non-expansiveness violations. Sketched only: stopping-time localisation of the w.h.p. event; burn-in term crude. OPEN: true bootstrap (c-&gt;1), K&gt;=2 (QP projection), a priori scale knowledge, exponential tails. UPDATE 25 Oct (problem05_bootstrap.md): TRUE BOOTSTRAP, K=1, two-stage, polynomial tails. Stage 1 with box constants: pathwise D_j &lt;= D0' - X - M + G (M martingale, E m^2 &lt;= (4/c-) E[v'dF v]); Doob L2 + Markov =&gt; P(sup D_j &gt;= 3x) &lt;= (1+16/c0-) Gamma/x, Gamma=O(d log T); with F &gt;= lam_T I this forces the iterates into R(delta) for t&gt;=T1 when delta^2 &gt;= 24(1+16/c0-)c0+ L Gamma/(q m lamQ rho*^2 T1) (T1 gamma ~ d log T1/delta^2). Stage 2: with c+-=1+-delta, A-&gt;1, B-&gt;0, psi-factor 2 -&gt; 1+O(delta): regret (d/2+o(1)) log T on the good event. Numerics: pathwise inequality margin 1e-14; E sum m^2/E X ~4; sup D_j &lt;=14; last exit time from R(delta) ~ 1-3/(delta^2 gamma), slope of E R_n in log T ~0.9 (target d/2=1). NOT proved: expected regret with sharp constant (needs exponential tails; bad event only ~1/T1), localisation bookkeeping, K&gt;=2, a-priori box. UPDATE 25 Oct (problem05_exponential_tails.md): exponential tails. E1 exact identities (eps*Lam_T = mu T + n M'_T - n dS; Poisson eq u=(s-ES)/gamma), verified 1e-14. E2 Lam_T tails exp(-eta^2 mu eps T/2n^2). E3 occupation functionals via Poisson equation + Freedman: P(int h &lt;= Tm/2) &lt;= 3 exp(-c T gamma), c=m^2 mu/(32 kappa^2 (1+eta) beta) ~3e-7 (empirical decay ~0.04-0.056 per unit T*gamma: bound valid but 1e5x pessimistic). E4 Newton martingale: with prob&gt;=1-e^-x, -M_t &lt;= X_t + x/theta for all t (theta=min(1/(2k1), c-/2.87)) so sup D_j &lt;= D0' + x/theta + G_n. Theorem C-exp: bootstrap with T1 = O((ln(1/q)+d log T)/(gamma delta^2)). NOT done: E5 (exp bound on G_n, martingale part of score sum) in detail; expected regret with sharp constant needs episode/restart argument (union bound would pay crude linear rate on [0, T_c ~ log T_n]); constants; K&gt;=2. REASSESSMENT 25 Oct (novelty_reassessment.md): C2's 'C log(1/eps)' should be made explicit: conjecture regret = (d/2) log T + (1/2) log det I(theta*;eps) + O(1) in time units, with (1/2) log det I ~ ((1-k)^+/2) log(1/eps), k=2*mu*m (m=mean lifetime). Exact K=1 slopes confirm the information side (0.40 for k0=0.2); the regret side is DISFAVOURED by a 100-rep test (k0=0.2, E[R - log T] = -3.44+-0.10 at eps=0.3 vs -3.19+-0.32 at eps=0.01, against +1.30 predicted); conjecture withdrawn from the headline. Caveat: the test starts at theta*, so it cannot probe a Bayes/redundancy lower-bound constant. E5 + EXPECTED REGRET 25 Oct (problem05_E5_expected_regret.md, K1_main_results.md): E5 PROVED (Lemmas E5a-d, Prop E5: G_n &lt;= (1+o(1)) logdet + o(1)x + B_X X w.p. &gt;= 1-4e^-x; pathwise inequalities checked, 0 violations in 1.4e6 gaps). Found+fixed a flaw in Theorem 7/Lemma 7c: 'gap leverage &lt;= xbar a.s.' cannot hold (depends on Exp(1) variable); truncation fixes it. Theorem R (K=1): E R_n &lt;= (1/2+O(delta+eta)) d ln T + C, C independent of n, via charging bad events to their own time (no episode union bound); PROVED MODULO Thm F-exp, Assumption M (numerical), known box, and unwritten optional-stopping across random restarts. Rate constants ~1e5 worse than observed. K&gt;=2 open. DEPENDENCIES 25 Oct (K1_completion.md): optional stopping closed (predictable good-gap indicators replace restarts); integrability in Thm F-exp closed; Assumption M closed for eps&lt;=eps_M via the Gamma comparator of Thm T (E_Gamma h = 0.164, 0.044 vs simulated 0.15, 0.05); C(eps)=O(mu d ln(1/(eps delta))/(beta eps^2 delta^2)) (order only). Still assumed: known box; K&gt;=2 open; constants conservative; Thm T itself is a proof outline with numerically verified estimates. ASSUMPTION M certified 25 Oct (thmT_explicit_constants.md): K=1, k0=2, mu=beta=1: m&gt;=0.0248 for eps&lt;=1e-4 (E_Gamma h = 0.164, 0.0444 minus TV&lt;=0.0196). EXTENSIONS 25 Oct (assumptionM_exact.md, box_cost_and_lower_bound.md, K2_regret_chain.md): (1) Assumption M certified by exact Fourier quadrature for K=1, eps&lt;=0.3, k0 in [0.6,4] (m&gt;=0.032); (2) box cost: polynomial in c+,1/c-, empirically ~s^2 at rho0=1 (prior effect), leading constant box-free; scale of mu* not learnable at eps=c/T; (3) K&gt;=2: chain carries over, Assumption M replaced by computable lambda_L (Thm FK), Thm R^(K) (K+1)/2 ln T + C_K, constants uninformative, K=2 slope ~1.3 vs 1.5 [N]; (4) minimax lower bound (d/2)ln n - O(ln ln n) for ANY predictor, conditional on uniformity (U). LaTeX master document: latex/hawkes_master.tex (not compiled). CLOSED 25 Oct (Done): Theorem HP (problem05_07_closure.md): with prob &gt;= 1-6e^-x-P(E^c), R_n &lt;= psi_max(2 i0+3x) + 4[D0' + x/theta + G_n(x)]; plus expected-regret Thm R (sharp constant). Assumptions: known compact convex Theta_c, leverage event, Assumption M (certified K=1) / lambda_L (K&gt;=2). FINAL AUDIT 25 Oct (final_audit.md): fixed constant in Lemma E5c (xbar = lbar m/(c^- mu*), not c^+), replaced loose general-K Lemma E1 by the exact Z_c identity; K=2 pathwise Newton/martingale inequalities verified (code/p5_k2_pathwise_check.py).</t>
        </is>
      </c>
    </row>
    <row r="7" ht="60" customHeight="1" s="27">
      <c r="A7" s="29" t="n">
        <v>6</v>
      </c>
      <c r="B7" s="30" t="inlineStr">
        <is>
          <t>B. Upper bound</t>
        </is>
      </c>
      <c r="C7" s="31" t="inlineStr">
        <is>
          <t>Make the ε-dependence explicit</t>
        </is>
      </c>
      <c r="D7" s="30" t="inlineStr">
        <is>
          <t>Track how the gradient bound, the curvature constant and the burn-in scale with ε and μ. Target form: (d/2) log T + C log(1/ε) + burn-in(με) with d = K+1. Decide what burn-in is really needed (probably of order 1/(με) in time or events).</t>
        </is>
      </c>
      <c r="E7" s="30" t="inlineStr">
        <is>
          <t>A theorem statement with every constant written as a function of ε, μ, K and the β-grid.</t>
        </is>
      </c>
      <c r="F7" s="29" t="inlineStr">
        <is>
          <t>C2</t>
        </is>
      </c>
      <c r="G7" s="30" t="inlineStr">
        <is>
          <t>P2 Complete upper bound</t>
        </is>
      </c>
      <c r="H7" s="32" t="inlineStr">
        <is>
          <t>High</t>
        </is>
      </c>
      <c r="I7" s="32" t="n">
        <v>4</v>
      </c>
      <c r="J7" s="32" t="n">
        <v>3</v>
      </c>
      <c r="K7" s="29" t="inlineStr">
        <is>
          <t>3, 5</t>
        </is>
      </c>
      <c r="L7" s="32" t="inlineStr">
        <is>
          <t>Not started</t>
        </is>
      </c>
      <c r="M7" s="33" t="n"/>
    </row>
    <row r="8" ht="46.5" customHeight="1" s="27">
      <c r="A8" s="29" t="n">
        <v>7</v>
      </c>
      <c r="B8" s="30" t="inlineStr">
        <is>
          <t>B. Upper bound</t>
        </is>
      </c>
      <c r="C8" s="31" t="inlineStr">
        <is>
          <t>Handle the compensator term</t>
        </is>
      </c>
      <c r="D8" s="30" t="inlineStr">
        <is>
          <t>The gradient has the form −a_i/λ_i + b_i. Prove that both parts concentrate jointly with zero mean at θ*, given that b_i is not parallel to a_i.</t>
        </is>
      </c>
      <c r="E8" s="30" t="inlineStr">
        <is>
          <t>A lemma bounding the joint deviation of the two gradient components.</t>
        </is>
      </c>
      <c r="F8" s="29" t="inlineStr">
        <is>
          <t>C1</t>
        </is>
      </c>
      <c r="G8" s="30" t="inlineStr">
        <is>
          <t>P2 Complete upper bound</t>
        </is>
      </c>
      <c r="H8" s="32" t="inlineStr">
        <is>
          <t>High</t>
        </is>
      </c>
      <c r="I8" s="32" t="n">
        <v>3</v>
      </c>
      <c r="J8" s="32" t="n">
        <v>2</v>
      </c>
      <c r="K8" s="29" t="inlineStr">
        <is>
          <t>5</t>
        </is>
      </c>
      <c r="L8" s="32" t="inlineStr">
        <is>
          <t>Done</t>
        </is>
      </c>
      <c r="M8" s="33" t="inlineStr">
        <is>
          <t>25 Oct 2026. problem07_leverage.md; code/p5_leverage.py, p5_theorem_check.py, p5_component_check.py. K=1 only. Split gradient g = s (score at theta*) + h (drift). Lemma 7a (rigorous): E[s|past]=0, E[s s'|past]=E[dJ] (stopped martingale). Lemma 7b: E[h'F^-1 h] &lt;= (ell/mu_min) E[v'dF v], ell = sup_u phi'F^-1 phi/lam* (point leverage). Lemma 7c: tr(F^-1 dF) &lt;= r(x) logdet increment, r(x)=x/log(1+x) (gap leverage x). Theorem 7 (conditional on a.s. L1-L3): E R_n &lt;= [P0 + (1+eta) c+ r(x) E logdet(F_n/F_0)]/(1-B), B=(1+1/eta) ell/mu_min&lt;1, closing the gradient-norm term of Problem 5 (growth ~ d log T, constant ~3-6x too big). Leverage scale: worst case is the quiet gap, ell ~ [F^-1]_mumu/mu* ~ (k-1)/(eps T), so B&lt;1 needs ~4(k-1)/(eps^2 mu_min) events: leverage burn-in ~1/eps^2 events (matches Problem 3 mixing; observed medians 1520 at eps=.1, 10086 at eps=.03). Numerics: all three lemmas verified; drift term is negligible in practice (0.02 vs bound 3); full bound valid but 15-40x loose. NOT done: L1-L3 as stopping-time/high-probability statements (needs Fisher concentration, Problems 2-3), projection, K&gt;=2, sharp constant. Draft, not independently verified. UPDATE 25 Oct: problem05_fisher_concentration.md (K=1, oracle information): Lemma F1 var(int h(S_t)dt) &lt;= 2T Lip sqrt(m) sigma_S/gamma via the Problem-3 contraction; Lemma F2 two-interval bound J_T &gt;= (O/L) Q (exact, deterministic); Theorem F: J_T &gt;= (mT/4L) Q w.p. &gt;=1-2q for all T&gt;=T0=16 sigma_S/(rho gamma m^1.5 q) = O(1/(beta eps)), so Theorem-7 leverage assumptions hold w.h.p. given (L1). Numerics: variance bound holds with 500-1500x margin; pathwise leverage bound 0 violations in ~1300 checks; rigorous T0*gamma ~ 4e5 vs empirical ~20-50 (Chebyshev, 1e4x conservative). OPEN: circularity (L1 needs consistency which needs the information bound), Assumption M (pi-mass of bumps, numerical), exponential tails, projection, K&gt;=2. UPDATE 25 Oct: (L1) now holds by construction for the compact-box exact-projection algorithm (problem05_circularity.md); F &gt;= F0 + J/c+ verified PSD in all runs. Remaining: localisation bookkeeping. UPDATE 25 Oct: bootstrap done at polynomial-tail level (problem05_bootstrap.md); remaining for the leverage assumptions: exponential tails, localisation, K&gt;=2. UPDATE 25 Oct: exponential-tail versions of Theorem F and the bootstrap in problem05_exponential_tails.md (G_n control sketched only). CLOSED 25 Oct (Done): Lemma JD (problem05_07_closure.md): joint zero mean and covariance E dJ (non-degenerate since b not parallel to a), pathwise |s|^2_{F^-1} &lt;= (2 lbar/mu)(1+E^2), tail e^-m, cumulative exponential bound (E5b); 0 violations in 1.44e6 gaps.</t>
        </is>
      </c>
    </row>
    <row r="9" ht="46.5" customHeight="1" s="27">
      <c r="A9" s="29" t="n">
        <v>8</v>
      </c>
      <c r="B9" s="30" t="inlineStr">
        <is>
          <t>B. Upper bound</t>
        </is>
      </c>
      <c r="C9" s="31" t="inlineStr">
        <is>
          <t>Decide the notion of regret</t>
        </is>
      </c>
      <c r="D9" s="30" t="inlineStr">
        <is>
          <t>Log-loss regret against the best fixed θ* is not the same as parameter error. State both, and either prove the link between them or choose one as the headline result.</t>
        </is>
      </c>
      <c r="E9" s="30" t="inlineStr">
        <is>
          <t>A precise definition used consistently in all theorems, and a lemma connecting the two notions if both are kept.</t>
        </is>
      </c>
      <c r="F9" s="29" t="inlineStr">
        <is>
          <t>C2</t>
        </is>
      </c>
      <c r="G9" s="30" t="inlineStr">
        <is>
          <t>P2 Complete upper bound</t>
        </is>
      </c>
      <c r="H9" s="32" t="inlineStr">
        <is>
          <t>Medium</t>
        </is>
      </c>
      <c r="I9" s="32" t="n">
        <v>2</v>
      </c>
      <c r="J9" s="32" t="n">
        <v>1</v>
      </c>
      <c r="K9" s="29" t="inlineStr">
        <is>
          <t>5</t>
        </is>
      </c>
      <c r="L9" s="32" t="inlineStr">
        <is>
          <t>Not started</t>
        </is>
      </c>
      <c r="M9" s="33" t="n"/>
    </row>
    <row r="10" ht="46.5" customHeight="1" s="27">
      <c r="A10" s="29" t="n">
        <v>9</v>
      </c>
      <c r="B10" s="30" t="inlineStr">
        <is>
          <t>C. Lower bound and information limits</t>
        </is>
      </c>
      <c r="C10" s="31" t="inlineStr">
        <is>
          <t>Two-point lower bound for online estimation</t>
        </is>
      </c>
      <c r="D10" s="30" t="inlineStr">
        <is>
          <t>Adapt the kernel-agnostic bound KL ≲ δ² T μ (1−n) to exponential dictionaries, then convert it into a regret or minimax statement. Check that it matches your upper bound in ε.</t>
        </is>
      </c>
      <c r="E10" s="30" t="inlineStr">
        <is>
          <t>A lower-bound theorem, and a comparison table showing where upper and lower bounds match or differ in ε, μ and T.</t>
        </is>
      </c>
      <c r="F10" s="29" t="inlineStr">
        <is>
          <t>C3</t>
        </is>
      </c>
      <c r="G10" s="30" t="inlineStr">
        <is>
          <t>P3 Lower bound and simulation</t>
        </is>
      </c>
      <c r="H10" s="32" t="inlineStr">
        <is>
          <t>High</t>
        </is>
      </c>
      <c r="I10" s="32" t="n">
        <v>4</v>
      </c>
      <c r="J10" s="32" t="n">
        <v>3</v>
      </c>
      <c r="K10" s="29" t="inlineStr">
        <is>
          <t>6, 10</t>
        </is>
      </c>
      <c r="L10" s="32" t="inlineStr">
        <is>
          <t>Not started</t>
        </is>
      </c>
      <c r="M10" s="33" t="inlineStr">
        <is>
          <t xml:space="preserve"> LITERATURE 25 Oct: the two-point KL bound is already Herrera-Marin arXiv 2609.38268 Thm 2.2 + Cor 2.3 (empty start, shared mu and kernel shape, any normalised shape incl. sums of exponentials; unrefereed). Re-derived and tested on K=1 (bound held in 12/12 configs, 2-7x loose). Novelty here must come from online-estimator regret or other directions (individual alpha_k, stationary start). REASSESSMENT 25 Oct: as written this problem (two-point bound) is prior art (Herrera-Marin Thm 2.2). Suggested replacement: (a) regret lower bound for sequential estimators &gt;= (d/2) log T + (1/2) log det I - O(1); (b) identifiability map / matching UPPER bound on lambda_min(I) for the K-dictionary. Neither is proved; literature on regret lower bounds for point processes not yet searched.</t>
        </is>
      </c>
    </row>
    <row r="11" ht="46.5" customHeight="1" s="27">
      <c r="A11" s="29" t="n">
        <v>10</v>
      </c>
      <c r="B11" s="30" t="inlineStr">
        <is>
          <t>C. Lower bound and information limits</t>
        </is>
      </c>
      <c r="C11" s="31" t="inlineStr">
        <is>
          <t>Fisher information as n → 1 for K = 1</t>
        </is>
      </c>
      <c r="D11" s="30" t="inlineStr">
        <is>
          <t>Compute I(μ, α) for a single exponential with fixed β in closed form, using the stationary law of λ or the CIR scaling limit. This is the quickest test of whether items 9 and 11 are tractable.</t>
        </is>
      </c>
      <c r="E11" s="30" t="inlineStr">
        <is>
          <t>Closed-form (or asymptotic) Fisher information, with its behaviour as ε → 0 stated clearly.</t>
        </is>
      </c>
      <c r="F11" s="29" t="inlineStr">
        <is>
          <t>C3, C4</t>
        </is>
      </c>
      <c r="G11" s="30" t="inlineStr">
        <is>
          <t>P1 Core feasibility</t>
        </is>
      </c>
      <c r="H11" s="32" t="inlineStr">
        <is>
          <t>Critical</t>
        </is>
      </c>
      <c r="I11" s="32" t="n">
        <v>3</v>
      </c>
      <c r="J11" s="32" t="n">
        <v>1.5</v>
      </c>
      <c r="K11" s="29" t="n"/>
      <c r="L11" s="32" t="inlineStr">
        <is>
          <t>Done</t>
        </is>
      </c>
      <c r="M11" s="33" t="inlineStr">
        <is>
          <t>Revised 2026-10-25. K=1 near-critical asymptotics of m=E[1/lam] now PROVED (Theorem A: k&gt;1 m~2eps/(2mu-beta); k=1 m~(2/beta)eps ln(1/eps); k&lt;1 m~C eps^k). Correction: total information from a cold start is NOT T*I(theta*): mu-information always diverges (rigorous &gt;= ln(1+beta_max T)/(mu beta_max), any K); dichotomy is log vs polynomial divergence (numerics: slope 2.03 for k=2, ~ln^2 T at k=1, T^(1-k) for k&lt;1); bounded only under stationary start. K&gt;=2: MC consistent, no proof. Cold-start coefficients conjectural. Needs your re-derivation. See problem10_fisher_k1.md and problem10_rigorous.md VERIFICATION 25 Oct (verification_thmA_E_F.md): Theorem A re-derived step by step and tested: CORRECT. Step 2 has two inadequate justifications (x&gt;=1.5 boundedness needs convexity of h; 'denominator &lt;= alpha x^2' does not follow from the displayed bounds) - both statements are true (numerically sup 2.07/alpha resp. 0.667) and repairable. Limits confirmed: m/eps = 1.998 (k0=2), m/eps^k0 = 5.93 -&gt; 6.05 (k0=0.6), m/(eps ln 1/eps) = 1.945 -&gt; 2 (k0=1). UPDATE 25 Oct (theoremA_step2_and_stationary_tv.md): Theorem A Step 2 REPAIRED (Lemma 2: D_eps&lt;=2.08/alpha for all s via convexity of h; D_eps&gt;=0.166/alpha for s&gt;=1/alpha, eps&lt;=1/4, via exact factor r&lt;=1/3 and monotone h/x^2). Theorem A now fully justified; constants verified numerically. LITERATURE 25 Oct (literature_search_report.md): my exact K=1 Hawkes Fisher matrix converges (relative diff ~ eps) to the CIR Fisher matrix of Ben Alaya-Kebaier-Tran Thm 2.1 under (a,b)=(beta mu, beta eps), 2 sigma=beta^2; the conjectured cold-start coefficient 2/(beta(2mu-beta)) equals the CIR critical-case information rate of their Cor 2.3(i). So the K=1 information structure is the Hawkes prelimit of classical CIR theory (fixed regimes); no local-to-critical CIR result found.</t>
        </is>
      </c>
    </row>
    <row r="12" ht="60" customHeight="1" s="27">
      <c r="A12" s="29" t="n">
        <v>11</v>
      </c>
      <c r="B12" s="30" t="inlineStr">
        <is>
          <t>C. Lower bound and information limits</t>
        </is>
      </c>
      <c r="C12" s="31" t="inlineStr">
        <is>
          <t>Light-tailed baseline information dichotomy</t>
        </is>
      </c>
      <c r="D12" s="30" t="inlineStr">
        <is>
          <t>Prove when information about μ diverges or stays bounded in the nearly unstable regime 1−n_T ≍ T⁻¹ for exponential kernels. The CIR limit has a Gamma stationary law; the open step is the case where its shape parameter exceeds 1. Hardest and most novel item on the list.</t>
        </is>
      </c>
      <c r="E12" s="30" t="inlineStr">
        <is>
          <t>A theorem (or a clear counterexample) giving the dichotomy, with the role of the shape parameter explicit.</t>
        </is>
      </c>
      <c r="F12" s="29" t="inlineStr">
        <is>
          <t>C4</t>
        </is>
      </c>
      <c r="G12" s="30" t="inlineStr">
        <is>
          <t>P4 Stretch and validation</t>
        </is>
      </c>
      <c r="H12" s="32" t="inlineStr">
        <is>
          <t>High</t>
        </is>
      </c>
      <c r="I12" s="32" t="n">
        <v>5</v>
      </c>
      <c r="J12" s="32" t="n">
        <v>5</v>
      </c>
      <c r="K12" s="29" t="inlineStr">
        <is>
          <t>3, 10</t>
        </is>
      </c>
      <c r="L12" s="32" t="inlineStr">
        <is>
          <t>Done</t>
        </is>
      </c>
      <c r="M12" s="33" t="inlineStr">
        <is>
          <t>Draft done 2026-10-25 (needs your re-derivation). DECISION: C4 uses STATIONARY observation, dichotomy = bounded vs divergent. Rigorous: K=1 full dichotomy (Thm A, B); ANY K with k_K=2*mu*sum(alpha/beta^2)/n: E[1/lam]=O(eps) if k_K&gt;1 (Thm E, corrected Lyapunov log W+psi/W^2 with Perron weights) =&gt; no consistent mu-estimator (Cor E'); E[1/lam]&gt;=c eps^(k_K+eta) if k_K&lt;1 (Thm F) =&gt; alpha-known information diverges. Pathwise check of generator bounds passed. Open: efficient (alpha-unknown) info divergence for K&gt;=2 (numerics eff/m-&gt;1), matching upper bound/estimator (MLE is mixed-normal: observed info random, CV~0.5), k_K=1 borderline, cold-start coefficients. See problem11_dichotomy.md LITERATURE 25 Oct: divergence of mu-information for kappa&lt;=1 is Herrera-Marin Remark 4.8 (Fatou); he states the kappa&gt;1 direction is NOT proved. Gamma shape/Feller threshold k=2*beta*mu/alpha^2 confirmed against Jaisson-Rosenbaum Thm 2.2 (shape 2m*mu; tested, autocorrelation exp(-eps*beta*t) also confirmed). REASSESSMENT 25 Oct: divergence half = Herrera-Marin Remark 4.8; he leaves the converse (kappa&gt;1) unproved. Other session's Theorem A (K=1, stationary) claims it with rates (I have NOT verified its proof). Exact slopes of (1/2) log det I vs log(1/eps): 0.347,0.397,0.404,0.403,0.402 -&gt; (1-k0)/2=0.40 for k0=0.2; -&gt; 0 for k0&gt;=2. K=2 dictionary: A_T matches the K=1 value at equal k=2*mu*m (1.29/1.53/1.79 vs 1.26/1.55/1.78): supports threshold 2*mu*sum(w_k/beta_k)=1. Observation model matters (stationary vs empty start). VERIFICATION 25 Oct (verification_thmA_E_F.md): Lemma H re-derived and holds pathwise in 30/30 (parameter,z) cases; Theorems E and F re-derived: CORRECT given Lemma H; E_pi[A f]=0 and the E/F integral inequalities confirmed by stationary MC (16 independent replicates). GAP in the use of E: Corollary E'/Theorem B compare path laws with the SAME initial state; impossibility is rigorous for the experiment where S_0 (pre-sample history) is given, but for a stationary record with unobserved past one also needs KL(pi_theta||pi_theta') = O(1) (Gamma approx 0.003-0.034; not proved) - same step Herrera-Marin I calls open. Also: the empty-start experiment (the actual streaming setting) has mu-information &gt;= ln T for every k, so the 'mu unlearnable' headline is observation-model specific. UPDATE 25 Oct (theoremA_step2_and_stationary_tv.md): initial-state gap closed for K=1, k0&gt;1: TV(Q,Q') &lt;= sqrt(rho u'I_T u/2) + TV(pi,pi') (Lemma R), and TV(pi_theta,pi_theta') &lt;= C|delta| + C eps^min(1,k0-1/2) via exact characteristic function phi=G*Ftilde (Gamma comparator), imaginary-axis bound |D_eps(-i tau)|&lt;=31.5/alpha, monotone |phi|, and TV &lt;= ||.||_H1/(2 sqrt2). Numerics (FFT inversion of exact ch.f.): TV(pi,pi') = 0.026/0.070 for delta=0.1/0.3, flat in eps from 0.1 to 0.003; TV(pi,Gamma) ~ eps. MY PROOF, NOT REVIEWED; constants not explicit; K&gt;=2, k0&lt;=1 not covered. UPDATE 25 Oct (general_K_impossibility.md): impossibility of consistent mu-estimation for the STATIONARY record with unobserved past now proved for ANY K with k_K&gt;1 (Theorem V: TV(Q,Q') &lt;= C delta sqrt(ln(1/delta))), by a route that bypasses TV(pi_theta,pi_theta'): (1) KL of stationary theta-process vs theta'-dynamics started from pi_theta over a window L+T=O(1/gamma) is O(delta^2) via Theorem E; (2) superposition: process from state s = empty-start + ghost immigrants g_s(t); (3) cluster survival q(s)&lt;=C' gamma e^{-gamma s} from the flow Y'=-BY+alpha(1-e^{-|Y|}) and zeta'=-gamma zeta - r(|Y|) (first-moment bound would lose ln(1/eps)). Verified: flow vs cluster MC (K=1,2), ghost-hit prob decays e^{-gamma L} (K=2 sim). MY PROOF, UNREVIEWED. TV(pi,pi') for K&gt;=2 itself still open. LITERATURE 25 Oct (literature_search_report.md): CIR side: information about the drift constant finite iff a &gt; sigma (Ben Alaya et al. Thm 2.1); MLE defined only for 2a &gt; sigma^2 (Dehtiar et al.); critical case sqrt(log T) rate. Discrete side: all estimation results found are CLSE/OLS; Li 2011: nonzero initial values =&gt; CLSE of immigration mean inconsistent; Anne-Lu-Yu-Zhou 2026: OLS intercept inconsistent in local-to-unity affine processes (no Hawkes, no information bound; overlap risk Medium). Herrera-Marin's Wei-Winnicki attribution UNVERIFIED. THM T CONSTANTS 25 Oct (thmT_explicit_constants.md): Theorem T now has an explicit chain: |d|&lt;=19 (true sup 1.143), tail exponent q=k0/(2(1+3/X0))&gt;1/2 (k/(1+r)^2=k0 exactly), certified TV(pi,Gamma)&lt;=Phi/(2 sqrt2); k0=2: 2e-2 (eps=1e-4), 1e-3 (1e-5), 8.6e-5 (1e-6); bound 1e2-1e3 above truth, valid in all tests. Ridge pair: TV&lt;=2.4e-3+0.39 delta (eps&lt;=1e-5, k0=2, delta&lt;=0.3). Phi by floating-point quadrature of hand-proved majorants, not interval arithmetic; KL step evaluated on a grid; informative only for eps&lt;~1e-4. FINAL AUDIT 25 Oct (final_audit.md): the 'no consistent estimator given S0' statements (Thm B, Cor D, Cor E') were stronger than the KL lemma proves: the correct bound is TV(Q) &lt;= TV(pi_theta, pi_theta') + sqrt(rho T u'Iu/2). Rigorous impossibility: K=1 stationary record (Thm T), any K stationary record with unobserved past (Thm V). K&gt;=2 with S0 observed: open.</t>
        </is>
      </c>
    </row>
    <row r="13" ht="46.5" customHeight="1" s="27">
      <c r="A13" s="29" t="n">
        <v>12</v>
      </c>
      <c r="B13" s="30" t="inlineStr">
        <is>
          <t>C. Lower bound and information limits</t>
        </is>
      </c>
      <c r="C13" s="31" t="inlineStr">
        <is>
          <t>Degenerate directions for K &gt; 1</t>
        </is>
      </c>
      <c r="D13" s="30" t="inlineStr">
        <is>
          <t>Determine whether the near-singular direction of the Fisher information is n, μ, or a mixture of the α_k across time scales.</t>
        </is>
      </c>
      <c r="E13" s="30" t="inlineStr">
        <is>
          <t>A statement identifying the degenerate eigendirection(s) and how they depend on ε and on the grid.</t>
        </is>
      </c>
      <c r="F13" s="29" t="inlineStr">
        <is>
          <t>C3, C4</t>
        </is>
      </c>
      <c r="G13" s="30" t="inlineStr">
        <is>
          <t>P3 Lower bound and simulation</t>
        </is>
      </c>
      <c r="H13" s="32" t="inlineStr">
        <is>
          <t>Medium</t>
        </is>
      </c>
      <c r="I13" s="32" t="n">
        <v>3</v>
      </c>
      <c r="J13" s="32" t="n">
        <v>2</v>
      </c>
      <c r="K13" s="29" t="inlineStr">
        <is>
          <t>2, 10</t>
        </is>
      </c>
      <c r="L13" s="32" t="inlineStr">
        <is>
          <t>Done</t>
        </is>
      </c>
      <c r="M13" s="33" t="inlineStr">
        <is>
          <t>Draft done 2026-10-25 (needs your re-derivation). I(theta*) has three tiers: top ~1/eps along grad_alpha n=(1/beta_k) (pure n-direction, best determined); K-1 middle 'kernel-shape' directions (sum w_k/beta_k=0) of size O(1) set by the beta-grid via the Hawkes-corrected spectral Gram (checked: 0.0667 pred vs 0.0661 MC, K=2); ridge ~ eps/(mu(k-1)) along (1,-eps*alpha/mu) = mean-rate-preserving mu-n trade (E lam=mu/eps fixed, shape fixed). As eps-&gt;0 the RIDGE is the degenerate direction; at moderate eps for K&gt;=3 / tight grids a time-scale MIXTURE is smaller (K=3, beta=(1,2,4): until eps~0.007). Rigorous: ridge Rayleigh bound O(eps) (via Thm E), lambda_max&gt;=(mu/eps-2mu)/|alpha|^2, K=1. Heuristic/numerical: middle tier, eigenvector convergence. See problem12_degenerate_directions.md REASSESSMENT 25 Oct: Herrera-Marin II (2609.38267) Sec 5 reports numerically an 'almost flat direction' from K~5 when fitting sums of exponentials to a long-memory kernel (slow poles trade mass with the baseline; not proved, misspecified setting). Same mechanism as my Problem 2 for the well-specified dictionary (lambda_min(I) falls ~10x per added exponential at r=2). Only a LOWER bound on lambda_min is proved here (Theorem T); a matching UPPER bound as K or the grid ratio grows would turn the flat direction into a theorem.</t>
        </is>
      </c>
    </row>
    <row r="14" ht="46.5" customHeight="1" s="27">
      <c r="A14" s="29" t="n">
        <v>13</v>
      </c>
      <c r="B14" s="30" t="inlineStr">
        <is>
          <t>D. Drift tracking</t>
        </is>
      </c>
      <c r="C14" s="31" t="inlineStr">
        <is>
          <t>Tracking bound with constant step η</t>
        </is>
      </c>
      <c r="D14" s="30" t="inlineStr">
        <is>
          <t>Prove E‖θ̂_t − θ*_t‖² ≲ η σ²(ε) + Δ²/η² for a constant-step estimator and drift rate Δ. Check the exponent on η, since it depends on how the drift enters.</t>
        </is>
      </c>
      <c r="E14" s="30" t="inlineStr">
        <is>
          <t>A theorem with ε-explicit constants, and a short comparison with Solo (2018) and Hall–Willett (2016).</t>
        </is>
      </c>
      <c r="F14" s="29" t="inlineStr">
        <is>
          <t>C5</t>
        </is>
      </c>
      <c r="G14" s="30" t="inlineStr">
        <is>
          <t>P5 Second paper or optional</t>
        </is>
      </c>
      <c r="H14" s="32" t="inlineStr">
        <is>
          <t>High</t>
        </is>
      </c>
      <c r="I14" s="32" t="n">
        <v>4</v>
      </c>
      <c r="J14" s="32" t="n">
        <v>3</v>
      </c>
      <c r="K14" s="29" t="inlineStr">
        <is>
          <t>3, 5</t>
        </is>
      </c>
      <c r="L14" s="32" t="inlineStr">
        <is>
          <t>Not started</t>
        </is>
      </c>
      <c r="M14" s="33" t="n"/>
    </row>
    <row r="15" ht="33" customHeight="1" s="27">
      <c r="A15" s="29" t="n">
        <v>14</v>
      </c>
      <c r="B15" s="30" t="inlineStr">
        <is>
          <t>D. Drift tracking</t>
        </is>
      </c>
      <c r="C15" s="31" t="inlineStr">
        <is>
          <t>Choose the drift model</t>
        </is>
      </c>
      <c r="D15" s="30" t="inlineStr">
        <is>
          <t>Choose one: smooth drift, piecewise-constant with jumps, or bounded variation. Each gives a different bound.</t>
        </is>
      </c>
      <c r="E15" s="30" t="inlineStr">
        <is>
          <t>One drift model chosen and justified, with reasons for excluding the others.</t>
        </is>
      </c>
      <c r="F15" s="29" t="inlineStr">
        <is>
          <t>C5</t>
        </is>
      </c>
      <c r="G15" s="30" t="inlineStr">
        <is>
          <t>P5 Second paper or optional</t>
        </is>
      </c>
      <c r="H15" s="32" t="inlineStr">
        <is>
          <t>Medium</t>
        </is>
      </c>
      <c r="I15" s="32" t="n">
        <v>1</v>
      </c>
      <c r="J15" s="32" t="n">
        <v>0.5</v>
      </c>
      <c r="K15" s="29" t="n"/>
      <c r="L15" s="32" t="inlineStr">
        <is>
          <t>Done</t>
        </is>
      </c>
      <c r="M15" s="33" t="inlineStr">
        <is>
          <t>DECISION 2026-10-25: bounded variation as piecewise-Lipschitz class (Lipschitz rate Delta, &lt;=J jumps of size &lt;=D, box mu_t in [mu,c_mu*mu], eps_t in [eps,c_eps*eps], fixed reference Fisher norm). Target for P13: eta*sigma^2 + Delta^2/eta^2 (response of a time-varying-gain filter, gain eta*mu_t/eps) + J*D^2/(eta*T); sigma^2=r/(2*eff) (K=1 alpha known: mu/(2*eps*m)). Verified numerically (causal sampling): sinusoid, triangle, ramp, random walk, jumps; K=1,2,3 (grids (1,2),(1,4),(1,2,4),(1,3,9)); noise coeff r/(2 eff) within 3-13% in window; linear window eta&lt;=theta_k*mu^2/a, theta_k~0.013-0.03 (k-dependent). Problem 5 recursion verbatim cannot track drift (needs forgetting). RETRACTED c_lag~1.8: extra lag for alpha-unknown is an amplitude effect of the data-driven preconditioner (1.3-1.75x at A=0.2-0.5, -&gt;1 as A-&gt;0), absent with fixed preconditioner. Metric equivalence kappa_I: K=1 7-9, K=2 10-11 (mu x1.5), eps-independent. Hall-Willett VERIFIED from LaTeX source (adversarial regret C(1+sum||lam_{t+1}-Phi_t(lam_t)||_2)*sqrt(T): variation measure is a path length relative to known dynamics, norm not squared; no parameter-drift model). Solo (Piggott-Solo ICASSP 2018) NOT read: closed access, no OA copy (needs your library). Open: K&gt;=4, eps&lt;0.4 for K&gt;=2, analytic derivation of the adaptive-preconditioner excess. See problem14_drift_model.md CLEANUP 25 Oct: stale c_lag / amplitude-independence / K=2 bias-ratio statements struck in the note; noise convention (sigma^2=a=r/(2 eff)); path-length bound V^2/(eta T) (factor 1/2 not derived); jump term units. Label clashes resolved in LABELS.md.</t>
        </is>
      </c>
    </row>
    <row r="16" ht="33" customHeight="1" s="27">
      <c r="A16" s="29" t="n">
        <v>15</v>
      </c>
      <c r="B16" s="30" t="inlineStr">
        <is>
          <t>D. Drift tracking</t>
        </is>
      </c>
      <c r="C16" s="31" t="inlineStr">
        <is>
          <t>Optimal step size and its ε-dependence</t>
        </is>
      </c>
      <c r="D16" s="30" t="inlineStr">
        <is>
          <t>Show how criticality shifts the best step size η, and what that implies for practical tuning.</t>
        </is>
      </c>
      <c r="E16" s="30" t="inlineStr">
        <is>
          <t>A formula or scaling law for η*(ε, Δ) and a simulation that confirms it.</t>
        </is>
      </c>
      <c r="F16" s="29" t="inlineStr">
        <is>
          <t>C5</t>
        </is>
      </c>
      <c r="G16" s="30" t="inlineStr">
        <is>
          <t>P5 Second paper or optional</t>
        </is>
      </c>
      <c r="H16" s="32" t="inlineStr">
        <is>
          <t>Medium</t>
        </is>
      </c>
      <c r="I16" s="32" t="n">
        <v>2</v>
      </c>
      <c r="J16" s="32" t="n">
        <v>1</v>
      </c>
      <c r="K16" s="29" t="inlineStr">
        <is>
          <t>13</t>
        </is>
      </c>
      <c r="L16" s="32" t="inlineStr">
        <is>
          <t>Done</t>
        </is>
      </c>
      <c r="M16" s="33" t="inlineStr">
        <is>
          <t>Draft done 2026-10-25, CONDITIONAL on Problem 13 (tracking bound not proved; built on measured MSE structure from P14). MSE(eta)=a*eta+B(eta), a=r/(2*eff). Smooth drift fast regime: eta*=(Delta_e^2/a)^(1/3) ~ eps^(4/3)*Delta^(2/3) (k&gt;1), MSE*=1.5*a*eta*; jumps: eta*=D*mu/sqrt(2*a*L_e) ~ eps^(3/2); k&lt;1 exponents 1+k/3, 1+k/2. Window cap eta&lt;=theta*mu^2/a ~ eps^2 binds as eps-&gt;0. Tracking beats static estimator only if P*eff*(A*mu)^2 &gt;~ 16 (checked: 8.7 no gain, 22.6 modest, 34.7 gain 26%). alpha unknown shifts eta* down by ~k^(-1/3). Sim (K=1): smooth alpha-known eta_opt 0.00292/0.00179/0.00089 vs predicted 0.00295/0.00193/0.00095 at eps 0.4/0.3/0.2; jumps within 15-27%. Not done: K&gt;=2 eta_opt, eps&lt;0.2, pure power-law regime. See problem15_step_size.md</t>
        </is>
      </c>
    </row>
    <row r="17" ht="46.5" customHeight="1" s="27">
      <c r="A17" s="29" t="n">
        <v>16</v>
      </c>
      <c r="B17" s="30" t="inlineStr">
        <is>
          <t>E. Misspecification</t>
        </is>
      </c>
      <c r="C17" s="31" t="inlineStr">
        <is>
          <t>Exact KL pseudo-truth</t>
        </is>
      </c>
      <c r="D17" s="30" t="inlineStr">
        <is>
          <t>Characterize θ† for the Hawkes KL (E* ∫ [λ* log(λ*/λ_θ) − (λ* − λ_θ)] dt), not the quadratic surrogate used in prior work, and prove existence and uniqueness.</t>
        </is>
      </c>
      <c r="E17" s="30" t="inlineStr">
        <is>
          <t>A theorem on existence and uniqueness of θ†, with the first-order condition written out.</t>
        </is>
      </c>
      <c r="F17" s="29" t="inlineStr">
        <is>
          <t>C6</t>
        </is>
      </c>
      <c r="G17" s="30" t="inlineStr">
        <is>
          <t>P5 Second paper or optional</t>
        </is>
      </c>
      <c r="H17" s="32" t="inlineStr">
        <is>
          <t>Medium</t>
        </is>
      </c>
      <c r="I17" s="32" t="n">
        <v>4</v>
      </c>
      <c r="J17" s="32" t="n">
        <v>2</v>
      </c>
      <c r="K17" s="29" t="n"/>
      <c r="L17" s="32" t="inlineStr">
        <is>
          <t>Not started</t>
        </is>
      </c>
      <c r="M17" s="33" t="n"/>
    </row>
    <row r="18" ht="33" customHeight="1" s="27">
      <c r="A18" s="29" t="n">
        <v>17</v>
      </c>
      <c r="B18" s="30" t="inlineStr">
        <is>
          <t>E. Misspecification</t>
        </is>
      </c>
      <c r="C18" s="31" t="inlineStr">
        <is>
          <t>Online convergence to θ†</t>
        </is>
      </c>
      <c r="D18" s="30" t="inlineStr">
        <is>
          <t>Show the online estimator converges to θ† under misspecification, with the stability constraint n ≤ 1−ε active.</t>
        </is>
      </c>
      <c r="E18" s="30" t="inlineStr">
        <is>
          <t>A convergence theorem (almost sure or in probability) with the active-constraint case handled.</t>
        </is>
      </c>
      <c r="F18" s="29" t="inlineStr">
        <is>
          <t>C6</t>
        </is>
      </c>
      <c r="G18" s="30" t="inlineStr">
        <is>
          <t>P5 Second paper or optional</t>
        </is>
      </c>
      <c r="H18" s="32" t="inlineStr">
        <is>
          <t>Medium</t>
        </is>
      </c>
      <c r="I18" s="32" t="n">
        <v>4</v>
      </c>
      <c r="J18" s="32" t="n">
        <v>3</v>
      </c>
      <c r="K18" s="29" t="inlineStr">
        <is>
          <t>5, 16</t>
        </is>
      </c>
      <c r="L18" s="32" t="inlineStr">
        <is>
          <t>Not started</t>
        </is>
      </c>
      <c r="M18" s="33" t="n"/>
    </row>
    <row r="19" ht="46.5" customHeight="1" s="27">
      <c r="A19" s="29" t="n">
        <v>18</v>
      </c>
      <c r="B19" s="30" t="inlineStr">
        <is>
          <t>E. Misspecification</t>
        </is>
      </c>
      <c r="C19" s="31" t="inlineStr">
        <is>
          <t>Bias of n(θ†) versus K</t>
        </is>
      </c>
      <c r="D19" s="30" t="inlineStr">
        <is>
          <t>For a power-law truth on a geometric β-grid, give an explicit rate for the bias of n(θ†) as K grows. This is a rational-approximation problem for a completely monotone kernel with a branch point.</t>
        </is>
      </c>
      <c r="E19" s="30" t="inlineStr">
        <is>
          <t>An explicit rate (or a numerically supported conjecture) for the bias as a function of K and grid ratio.</t>
        </is>
      </c>
      <c r="F19" s="29" t="inlineStr">
        <is>
          <t>C6</t>
        </is>
      </c>
      <c r="G19" s="30" t="inlineStr">
        <is>
          <t>P5 Second paper or optional</t>
        </is>
      </c>
      <c r="H19" s="32" t="inlineStr">
        <is>
          <t>Low</t>
        </is>
      </c>
      <c r="I19" s="32" t="n">
        <v>4</v>
      </c>
      <c r="J19" s="32" t="n">
        <v>3</v>
      </c>
      <c r="K19" s="29" t="inlineStr">
        <is>
          <t>16</t>
        </is>
      </c>
      <c r="L19" s="32" t="inlineStr">
        <is>
          <t>Not started</t>
        </is>
      </c>
      <c r="M19" s="33" t="n"/>
    </row>
    <row r="20" ht="46.5" customHeight="1" s="27">
      <c r="A20" s="29" t="n">
        <v>19</v>
      </c>
      <c r="B20" s="30" t="inlineStr">
        <is>
          <t>F. Validation</t>
        </is>
      </c>
      <c r="C20" s="31" t="inlineStr">
        <is>
          <t>Simulation study</t>
        </is>
      </c>
      <c r="D20" s="30" t="inlineStr">
        <is>
          <t>Simulate with Ogata thinning using known (μ, α, β). Sweep ε and T and check that regret and error follow the predicted scalings, including the burn-in.</t>
        </is>
      </c>
      <c r="E20" s="30" t="inlineStr">
        <is>
          <t>Plots of error and regret versus T for several ε, with fitted slopes compared with theory.</t>
        </is>
      </c>
      <c r="F20" s="29" t="inlineStr">
        <is>
          <t>All</t>
        </is>
      </c>
      <c r="G20" s="30" t="inlineStr">
        <is>
          <t>P3 Lower bound and simulation</t>
        </is>
      </c>
      <c r="H20" s="32" t="inlineStr">
        <is>
          <t>High</t>
        </is>
      </c>
      <c r="I20" s="32" t="n">
        <v>2</v>
      </c>
      <c r="J20" s="32" t="n">
        <v>2</v>
      </c>
      <c r="K20" s="29" t="inlineStr">
        <is>
          <t>5</t>
        </is>
      </c>
      <c r="L20" s="32" t="inlineStr">
        <is>
          <t>Not started</t>
        </is>
      </c>
      <c r="M20" s="33" t="n"/>
    </row>
    <row r="21" ht="60" customHeight="1" s="27">
      <c r="A21" s="29" t="n">
        <v>20</v>
      </c>
      <c r="B21" s="30" t="inlineStr">
        <is>
          <t>F. Validation</t>
        </is>
      </c>
      <c r="C21" s="31" t="inlineStr">
        <is>
          <t>Real-data check</t>
        </is>
      </c>
      <c r="D21" s="30" t="inlineStr">
        <is>
          <t>Test on NSE or Bank Nifty tick or order-flow data. Fit the dictionary, report the estimated n, show the effect of misspecification, and show tracking behaviour across regime changes. Needs access to suitable tick data.</t>
        </is>
      </c>
      <c r="E21" s="30" t="inlineStr">
        <is>
          <t>A figure of n̂(t) over a trading period, with a comment on regime shifts and on bias relative to a batch fit.</t>
        </is>
      </c>
      <c r="F21" s="29" t="inlineStr">
        <is>
          <t>All</t>
        </is>
      </c>
      <c r="G21" s="30" t="inlineStr">
        <is>
          <t>P4 Stretch and validation</t>
        </is>
      </c>
      <c r="H21" s="32" t="inlineStr">
        <is>
          <t>Medium</t>
        </is>
      </c>
      <c r="I21" s="32" t="n">
        <v>3</v>
      </c>
      <c r="J21" s="32" t="n">
        <v>3</v>
      </c>
      <c r="K21" s="29" t="inlineStr">
        <is>
          <t>19</t>
        </is>
      </c>
      <c r="L21" s="32" t="inlineStr">
        <is>
          <t>Not started</t>
        </is>
      </c>
      <c r="M21" s="33" t="n"/>
    </row>
    <row r="22" ht="46.5" customHeight="1" s="27">
      <c r="A22" s="29" t="n">
        <v>21</v>
      </c>
      <c r="B22" s="30" t="inlineStr">
        <is>
          <t>F. Validation</t>
        </is>
      </c>
      <c r="C22" s="31" t="inlineStr">
        <is>
          <t>Baselines to beat</t>
        </is>
      </c>
      <c r="D22" s="30" t="inlineStr">
        <is>
          <t>Implement batch MLE, Hall–Willett mirror descent and Solo's fixed-gain estimator, and compare accuracy and per-event cost with your method.</t>
        </is>
      </c>
      <c r="E22" s="30" t="inlineStr">
        <is>
          <t>A comparison table of error and runtime on the same simulated and real datasets.</t>
        </is>
      </c>
      <c r="F22" s="29" t="inlineStr">
        <is>
          <t>All</t>
        </is>
      </c>
      <c r="G22" s="30" t="inlineStr">
        <is>
          <t>P4 Stretch and validation</t>
        </is>
      </c>
      <c r="H22" s="32" t="inlineStr">
        <is>
          <t>Medium</t>
        </is>
      </c>
      <c r="I22" s="32" t="n">
        <v>2</v>
      </c>
      <c r="J22" s="32" t="n">
        <v>2</v>
      </c>
      <c r="K22" s="29" t="inlineStr">
        <is>
          <t>19</t>
        </is>
      </c>
      <c r="L22" s="32" t="inlineStr">
        <is>
          <t>Not started</t>
        </is>
      </c>
      <c r="M22" s="33" t="n"/>
    </row>
    <row r="23" ht="46.5" customHeight="1" s="27">
      <c r="A23" s="29" t="n">
        <v>22</v>
      </c>
      <c r="B23" s="30" t="inlineStr">
        <is>
          <t>G. Literature</t>
        </is>
      </c>
      <c r="C23" s="31" t="inlineStr">
        <is>
          <t>Read the core papers and write 'difference from' statements</t>
        </is>
      </c>
      <c r="D23" s="30" t="inlineStr">
        <is>
          <t>Read the papers listed on the Literature sheet in the suggested order and, for each, write one paragraph on how your result differs from theirs.</t>
        </is>
      </c>
      <c r="E23" s="30" t="inlineStr">
        <is>
          <t>A related-work section draft with one 'difference from' paragraph per paper.</t>
        </is>
      </c>
      <c r="F23" s="29" t="inlineStr">
        <is>
          <t>All</t>
        </is>
      </c>
      <c r="G23" s="30" t="inlineStr">
        <is>
          <t>P0 Parallel</t>
        </is>
      </c>
      <c r="H23" s="32" t="inlineStr">
        <is>
          <t>High</t>
        </is>
      </c>
      <c r="I23" s="32" t="n">
        <v>2</v>
      </c>
      <c r="J23" s="32" t="n">
        <v>2</v>
      </c>
      <c r="K23" s="29" t="n"/>
      <c r="L23" s="32" t="inlineStr">
        <is>
          <t>Not started</t>
        </is>
      </c>
      <c r="M23" s="33" t="n"/>
    </row>
    <row r="24" ht="60" customHeight="1" s="27">
      <c r="A24" s="29" t="n">
        <v>23</v>
      </c>
      <c r="B24" s="30" t="inlineStr">
        <is>
          <t>G. Literature</t>
        </is>
      </c>
      <c r="C24" s="31" t="inlineStr">
        <is>
          <t>Check the items not verified</t>
        </is>
      </c>
      <c r="D24" s="30" t="inlineStr">
        <is>
          <t>Check Zhang 2023 and Wang 2023 online or sequential estimators, online EM for Hawkes (Lemonnier–Vayatis, Zhou–Zha–Song), Bacry–Muzy–Delattre–Hoffmann, and the citation trees of Yang et al. (2017) and Hall–Willett (2016).</t>
        </is>
      </c>
      <c r="E24" s="30" t="inlineStr">
        <is>
          <t>A list of anything that anticipates your results, and an update of the overlap-risk column on the Literature sheet.</t>
        </is>
      </c>
      <c r="F24" s="29" t="inlineStr">
        <is>
          <t>All</t>
        </is>
      </c>
      <c r="G24" s="30" t="inlineStr">
        <is>
          <t>P0 Parallel</t>
        </is>
      </c>
      <c r="H24" s="32" t="inlineStr">
        <is>
          <t>Medium</t>
        </is>
      </c>
      <c r="I24" s="32" t="n">
        <v>2</v>
      </c>
      <c r="J24" s="32" t="n">
        <v>1.5</v>
      </c>
      <c r="K24" s="29" t="n"/>
      <c r="L24" s="32" t="inlineStr">
        <is>
          <t>Not started</t>
        </is>
      </c>
      <c r="M24" s="33" t="n"/>
    </row>
  </sheetData>
  <autoFilter ref="A1:M24"/>
  <conditionalFormatting sqref="L2:L24">
    <cfRule type="cellIs" rank="0" priority="2" equalAverage="0" operator="equal" aboveAverage="0" dxfId="5" text="" percent="0" bottom="0">
      <formula>"Done"</formula>
    </cfRule>
    <cfRule type="cellIs" rank="0" priority="3" equalAverage="0" operator="equal" aboveAverage="0" dxfId="6" text="" percent="0" bottom="0">
      <formula>"In progress"</formula>
    </cfRule>
    <cfRule type="cellIs" rank="0" priority="4" equalAverage="0" operator="equal" aboveAverage="0" dxfId="7" text="" percent="0" bottom="0">
      <formula>"Blocked"</formula>
    </cfRule>
  </conditionalFormatting>
  <conditionalFormatting sqref="H2:H24">
    <cfRule type="cellIs" rank="0" priority="5" equalAverage="0" operator="equal" aboveAverage="0" dxfId="8" text="" percent="0" bottom="0">
      <formula>"Critical"</formula>
    </cfRule>
  </conditionalFormatting>
  <dataValidations count="3">
    <dataValidation sqref="L2:L24" showDropDown="0" showInputMessage="0" showErrorMessage="0" allowBlank="0" type="list" errorStyle="stop" operator="between">
      <formula1>"Not started,In progress,Blocked,Done"</formula1>
      <formula2>0</formula2>
    </dataValidation>
    <dataValidation sqref="H2:H24" showDropDown="0" showInputMessage="0" showErrorMessage="0" allowBlank="0" type="list" errorStyle="stop" operator="between">
      <formula1>"Critical,High,Medium,Low"</formula1>
      <formula2>0</formula2>
    </dataValidation>
    <dataValidation sqref="I2:I24" showDropDown="0" showInputMessage="0" showErrorMessage="0" allowBlank="0" type="whole" errorStyle="stop" operator="between">
      <formula1>1</formula1>
      <formula2>5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F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4" customWidth="1" style="26" min="1" max="1"/>
    <col width="12" customWidth="1" style="26" min="2" max="3"/>
    <col width="10" customWidth="1" style="26" min="4" max="6"/>
  </cols>
  <sheetData>
    <row r="1" ht="17.35" customHeight="1" s="27">
      <c r="A1" s="34" t="inlineStr">
        <is>
          <t>Research problem tracker: summary</t>
        </is>
      </c>
    </row>
    <row r="2" ht="15" customHeight="1" s="27">
      <c r="A2" s="35" t="inlineStr">
        <is>
          <t>All figures below are formulas driven by the Problems sheet. Change Status, Priority or Est. weeks there and this sheet updates.</t>
        </is>
      </c>
    </row>
    <row r="4" ht="15" customHeight="1" s="27">
      <c r="A4" s="36" t="inlineStr">
        <is>
          <t>Overall</t>
        </is>
      </c>
    </row>
    <row r="5" ht="15" customHeight="1" s="27">
      <c r="A5" s="30" t="inlineStr">
        <is>
          <t>Total problems</t>
        </is>
      </c>
      <c r="B5" s="37">
        <f>COUNTA(Problems!$A$2:$A$24)</f>
        <v/>
      </c>
    </row>
    <row r="6" ht="15" customHeight="1" s="27">
      <c r="A6" s="30" t="inlineStr">
        <is>
          <t>Total estimated weeks</t>
        </is>
      </c>
      <c r="B6" s="38">
        <f>SUM(Problems!$J$2:$J$24)</f>
        <v/>
      </c>
    </row>
    <row r="7" ht="15" customHeight="1" s="27">
      <c r="A7" s="30" t="inlineStr">
        <is>
          <t>Weeks completed (Status = Done)</t>
        </is>
      </c>
      <c r="B7" s="38">
        <f>SUMIFS(Problems!$J$2:$J$24,Problems!$L$2:$L$24,"Done")</f>
        <v/>
      </c>
    </row>
    <row r="8" ht="15" customHeight="1" s="27">
      <c r="A8" s="30" t="inlineStr">
        <is>
          <t>Percent complete (weighted by weeks)</t>
        </is>
      </c>
      <c r="B8" s="39">
        <f>IFERROR(B7/B6,0)</f>
        <v/>
      </c>
    </row>
    <row r="9" ht="15" customHeight="1" s="27">
      <c r="A9" s="30" t="inlineStr">
        <is>
          <t>Critical-priority problems still open</t>
        </is>
      </c>
      <c r="B9" s="37">
        <f>COUNTIFS(Problems!$H$2:$H$24,"Critical",Problems!$L$2:$L$24,"&lt;&gt;Done")</f>
        <v/>
      </c>
    </row>
    <row r="11" ht="15" customHeight="1" s="27">
      <c r="A11" s="28" t="inlineStr">
        <is>
          <t>Status</t>
        </is>
      </c>
      <c r="B11" s="28" t="inlineStr">
        <is>
          <t>Problems</t>
        </is>
      </c>
      <c r="C11" s="28" t="inlineStr">
        <is>
          <t>Est. weeks</t>
        </is>
      </c>
    </row>
    <row r="12" ht="15" customHeight="1" s="27">
      <c r="A12" s="30" t="inlineStr">
        <is>
          <t>Not started</t>
        </is>
      </c>
      <c r="B12" s="37">
        <f>COUNTIF(Problems!$L$2:$L$24,A12)</f>
        <v/>
      </c>
      <c r="C12" s="38">
        <f>SUMIFS(Problems!$J$2:$J$24,Problems!$L$2:$L$24,A12)</f>
        <v/>
      </c>
    </row>
    <row r="13" ht="15" customHeight="1" s="27">
      <c r="A13" s="30" t="inlineStr">
        <is>
          <t>In progress</t>
        </is>
      </c>
      <c r="B13" s="37">
        <f>COUNTIF(Problems!$L$2:$L$24,A13)</f>
        <v/>
      </c>
      <c r="C13" s="38">
        <f>SUMIFS(Problems!$J$2:$J$24,Problems!$L$2:$L$24,A13)</f>
        <v/>
      </c>
    </row>
    <row r="14" ht="15" customHeight="1" s="27">
      <c r="A14" s="30" t="inlineStr">
        <is>
          <t>Blocked</t>
        </is>
      </c>
      <c r="B14" s="37">
        <f>COUNTIF(Problems!$L$2:$L$24,A14)</f>
        <v/>
      </c>
      <c r="C14" s="38">
        <f>SUMIFS(Problems!$J$2:$J$24,Problems!$L$2:$L$24,A14)</f>
        <v/>
      </c>
    </row>
    <row r="15" ht="15" customHeight="1" s="27">
      <c r="A15" s="30" t="inlineStr">
        <is>
          <t>Done</t>
        </is>
      </c>
      <c r="B15" s="37">
        <f>COUNTIF(Problems!$L$2:$L$24,A15)</f>
        <v/>
      </c>
      <c r="C15" s="38">
        <f>SUMIFS(Problems!$J$2:$J$24,Problems!$L$2:$L$24,A15)</f>
        <v/>
      </c>
    </row>
    <row r="16" ht="15" customHeight="1" s="27">
      <c r="A16" s="31" t="inlineStr">
        <is>
          <t>Total</t>
        </is>
      </c>
      <c r="B16" s="40">
        <f>SUM(B12:B15)</f>
        <v/>
      </c>
      <c r="C16" s="41">
        <f>SUM(C12:C15)</f>
        <v/>
      </c>
    </row>
    <row r="18" ht="15" customHeight="1" s="27">
      <c r="A18" s="28" t="inlineStr">
        <is>
          <t>Section</t>
        </is>
      </c>
      <c r="B18" s="28" t="inlineStr">
        <is>
          <t>Problems</t>
        </is>
      </c>
      <c r="C18" s="28" t="inlineStr">
        <is>
          <t>Est. weeks</t>
        </is>
      </c>
      <c r="D18" s="28" t="inlineStr">
        <is>
          <t>Done</t>
        </is>
      </c>
    </row>
    <row r="19" ht="15" customHeight="1" s="27">
      <c r="A19" s="30" t="inlineStr">
        <is>
          <t>A. Foundations</t>
        </is>
      </c>
      <c r="B19" s="37">
        <f>COUNTIF(Problems!$B$2:$B$24,A19)</f>
        <v/>
      </c>
      <c r="C19" s="38">
        <f>SUMIFS(Problems!$J$2:$J$24,Problems!$B$2:$B$24,A19)</f>
        <v/>
      </c>
      <c r="D19" s="37">
        <f>COUNTIFS(Problems!$B$2:$B$24,A19,Problems!$L$2:$L$24,"Done")</f>
        <v/>
      </c>
    </row>
    <row r="20" ht="15" customHeight="1" s="27">
      <c r="A20" s="30" t="inlineStr">
        <is>
          <t>B. Upper bound</t>
        </is>
      </c>
      <c r="B20" s="37">
        <f>COUNTIF(Problems!$B$2:$B$24,A20)</f>
        <v/>
      </c>
      <c r="C20" s="38">
        <f>SUMIFS(Problems!$J$2:$J$24,Problems!$B$2:$B$24,A20)</f>
        <v/>
      </c>
      <c r="D20" s="37">
        <f>COUNTIFS(Problems!$B$2:$B$24,A20,Problems!$L$2:$L$24,"Done")</f>
        <v/>
      </c>
    </row>
    <row r="21" ht="15" customHeight="1" s="27">
      <c r="A21" s="30" t="inlineStr">
        <is>
          <t>C. Lower bound and information limits</t>
        </is>
      </c>
      <c r="B21" s="37">
        <f>COUNTIF(Problems!$B$2:$B$24,A21)</f>
        <v/>
      </c>
      <c r="C21" s="38">
        <f>SUMIFS(Problems!$J$2:$J$24,Problems!$B$2:$B$24,A21)</f>
        <v/>
      </c>
      <c r="D21" s="37">
        <f>COUNTIFS(Problems!$B$2:$B$24,A21,Problems!$L$2:$L$24,"Done")</f>
        <v/>
      </c>
    </row>
    <row r="22" ht="15" customHeight="1" s="27">
      <c r="A22" s="30" t="inlineStr">
        <is>
          <t>D. Drift tracking</t>
        </is>
      </c>
      <c r="B22" s="37">
        <f>COUNTIF(Problems!$B$2:$B$24,A22)</f>
        <v/>
      </c>
      <c r="C22" s="38">
        <f>SUMIFS(Problems!$J$2:$J$24,Problems!$B$2:$B$24,A22)</f>
        <v/>
      </c>
      <c r="D22" s="37">
        <f>COUNTIFS(Problems!$B$2:$B$24,A22,Problems!$L$2:$L$24,"Done")</f>
        <v/>
      </c>
    </row>
    <row r="23" ht="15" customHeight="1" s="27">
      <c r="A23" s="30" t="inlineStr">
        <is>
          <t>E. Misspecification</t>
        </is>
      </c>
      <c r="B23" s="37">
        <f>COUNTIF(Problems!$B$2:$B$24,A23)</f>
        <v/>
      </c>
      <c r="C23" s="38">
        <f>SUMIFS(Problems!$J$2:$J$24,Problems!$B$2:$B$24,A23)</f>
        <v/>
      </c>
      <c r="D23" s="37">
        <f>COUNTIFS(Problems!$B$2:$B$24,A23,Problems!$L$2:$L$24,"Done")</f>
        <v/>
      </c>
    </row>
    <row r="24" ht="15" customHeight="1" s="27">
      <c r="A24" s="30" t="inlineStr">
        <is>
          <t>F. Validation</t>
        </is>
      </c>
      <c r="B24" s="37">
        <f>COUNTIF(Problems!$B$2:$B$24,A24)</f>
        <v/>
      </c>
      <c r="C24" s="38">
        <f>SUMIFS(Problems!$J$2:$J$24,Problems!$B$2:$B$24,A24)</f>
        <v/>
      </c>
      <c r="D24" s="37">
        <f>COUNTIFS(Problems!$B$2:$B$24,A24,Problems!$L$2:$L$24,"Done")</f>
        <v/>
      </c>
    </row>
    <row r="25" ht="15" customHeight="1" s="27">
      <c r="A25" s="30" t="inlineStr">
        <is>
          <t>G. Literature</t>
        </is>
      </c>
      <c r="B25" s="37">
        <f>COUNTIF(Problems!$B$2:$B$24,A25)</f>
        <v/>
      </c>
      <c r="C25" s="38">
        <f>SUMIFS(Problems!$J$2:$J$24,Problems!$B$2:$B$24,A25)</f>
        <v/>
      </c>
      <c r="D25" s="37">
        <f>COUNTIFS(Problems!$B$2:$B$24,A25,Problems!$L$2:$L$24,"Done")</f>
        <v/>
      </c>
    </row>
    <row r="26" ht="15" customHeight="1" s="27">
      <c r="A26" s="31" t="inlineStr">
        <is>
          <t>Total</t>
        </is>
      </c>
      <c r="B26" s="40">
        <f>SUM(B19:B25)</f>
        <v/>
      </c>
      <c r="C26" s="41">
        <f>SUM(C19:C25)</f>
        <v/>
      </c>
      <c r="D26" s="40">
        <f>SUM(D19:D25)</f>
        <v/>
      </c>
    </row>
    <row r="28" ht="15" customHeight="1" s="27">
      <c r="A28" s="28" t="inlineStr">
        <is>
          <t>Priority</t>
        </is>
      </c>
      <c r="B28" s="28" t="inlineStr">
        <is>
          <t>Problems</t>
        </is>
      </c>
      <c r="C28" s="28" t="inlineStr">
        <is>
          <t>Est. weeks</t>
        </is>
      </c>
      <c r="D28" s="28" t="inlineStr">
        <is>
          <t>Done</t>
        </is>
      </c>
    </row>
    <row r="29" ht="15" customHeight="1" s="27">
      <c r="A29" s="30" t="inlineStr">
        <is>
          <t>Critical</t>
        </is>
      </c>
      <c r="B29" s="37">
        <f>COUNTIF(Problems!$H$2:$H$24,A29)</f>
        <v/>
      </c>
      <c r="C29" s="38">
        <f>SUMIFS(Problems!$J$2:$J$24,Problems!$H$2:$H$24,A29)</f>
        <v/>
      </c>
      <c r="D29" s="37">
        <f>COUNTIFS(Problems!$H$2:$H$24,A29,Problems!$L$2:$L$24,"Done")</f>
        <v/>
      </c>
    </row>
    <row r="30" ht="15" customHeight="1" s="27">
      <c r="A30" s="30" t="inlineStr">
        <is>
          <t>High</t>
        </is>
      </c>
      <c r="B30" s="37">
        <f>COUNTIF(Problems!$H$2:$H$24,A30)</f>
        <v/>
      </c>
      <c r="C30" s="38">
        <f>SUMIFS(Problems!$J$2:$J$24,Problems!$H$2:$H$24,A30)</f>
        <v/>
      </c>
      <c r="D30" s="37">
        <f>COUNTIFS(Problems!$H$2:$H$24,A30,Problems!$L$2:$L$24,"Done")</f>
        <v/>
      </c>
    </row>
    <row r="31" ht="15" customHeight="1" s="27">
      <c r="A31" s="30" t="inlineStr">
        <is>
          <t>Medium</t>
        </is>
      </c>
      <c r="B31" s="37">
        <f>COUNTIF(Problems!$H$2:$H$24,A31)</f>
        <v/>
      </c>
      <c r="C31" s="38">
        <f>SUMIFS(Problems!$J$2:$J$24,Problems!$H$2:$H$24,A31)</f>
        <v/>
      </c>
      <c r="D31" s="37">
        <f>COUNTIFS(Problems!$H$2:$H$24,A31,Problems!$L$2:$L$24,"Done")</f>
        <v/>
      </c>
    </row>
    <row r="32" ht="15" customHeight="1" s="27">
      <c r="A32" s="30" t="inlineStr">
        <is>
          <t>Low</t>
        </is>
      </c>
      <c r="B32" s="37">
        <f>COUNTIF(Problems!$H$2:$H$24,A32)</f>
        <v/>
      </c>
      <c r="C32" s="38">
        <f>SUMIFS(Problems!$J$2:$J$24,Problems!$H$2:$H$24,A32)</f>
        <v/>
      </c>
      <c r="D32" s="37">
        <f>COUNTIFS(Problems!$H$2:$H$24,A32,Problems!$L$2:$L$24,"Done")</f>
        <v/>
      </c>
    </row>
    <row r="34" ht="39.75" customHeight="1" s="27">
      <c r="A34" s="42" t="inlineStr">
        <is>
          <t>Estimates of difficulty, priority and weeks are my judgement for a single researcher working sequentially, not measured data. Edit them on the Problems sheet. Weeks are summed, so the total is not a critical-path estimate.</t>
        </is>
      </c>
    </row>
  </sheetData>
  <mergeCells count="1">
    <mergeCell ref="A34:F3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F3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26" min="1" max="1"/>
    <col width="58" customWidth="1" style="26" min="2" max="2"/>
    <col width="54" customWidth="1" style="26" min="3" max="3"/>
    <col width="11" customWidth="1" style="26" min="4" max="5"/>
    <col width="13" customWidth="1" style="26" min="6" max="6"/>
  </cols>
  <sheetData>
    <row r="1" ht="17.35" customHeight="1" s="27">
      <c r="A1" s="34" t="inlineStr">
        <is>
          <t>Suggested order of work</t>
        </is>
      </c>
    </row>
    <row r="2" ht="15" customHeight="1" s="27">
      <c r="A2" s="35" t="inlineStr">
        <is>
          <t>Phase totals pull from the Problems sheet. Item lists show the suggested working order inside each phase.</t>
        </is>
      </c>
    </row>
    <row r="4" ht="15" customHeight="1" s="27">
      <c r="A4" s="28" t="inlineStr">
        <is>
          <t>Phase</t>
        </is>
      </c>
      <c r="B4" s="28" t="inlineStr">
        <is>
          <t>What this phase is for</t>
        </is>
      </c>
      <c r="C4" s="28" t="inlineStr">
        <is>
          <t>Suggested order (IDs)</t>
        </is>
      </c>
      <c r="D4" s="28" t="inlineStr">
        <is>
          <t>Problems</t>
        </is>
      </c>
      <c r="E4" s="28" t="inlineStr">
        <is>
          <t>Est. weeks</t>
        </is>
      </c>
      <c r="F4" s="28" t="inlineStr">
        <is>
          <t>Done</t>
        </is>
      </c>
    </row>
    <row r="5" ht="30" customHeight="1" s="27">
      <c r="A5" s="31" t="inlineStr">
        <is>
          <t>P0 Parallel</t>
        </is>
      </c>
      <c r="B5" s="30" t="inlineStr">
        <is>
          <t>Literature work, run alongside everything else.</t>
        </is>
      </c>
      <c r="C5" s="30" t="inlineStr">
        <is>
          <t>22, 23</t>
        </is>
      </c>
      <c r="D5" s="43">
        <f>COUNTIF(Problems!$G$2:$G$24,A5)</f>
        <v/>
      </c>
      <c r="E5" s="44">
        <f>SUMIFS(Problems!$J$2:$J$24,Problems!$G$2:$G$24,A5)</f>
        <v/>
      </c>
      <c r="F5" s="43">
        <f>COUNTIFS(Problems!$G$2:$G$24,A5,Problems!$L$2:$L$24,"Done")</f>
        <v/>
      </c>
    </row>
    <row r="6" ht="46.5" customHeight="1" s="27">
      <c r="A6" s="31" t="inlineStr">
        <is>
          <t>P1 Core feasibility</t>
        </is>
      </c>
      <c r="B6" s="30" t="inlineStr">
        <is>
          <t>Order: 10, then 1, then 3, then 5. If K = 1 Fisher information is tractable and the stochastic analysis closes, you have the core of a paper.</t>
        </is>
      </c>
      <c r="C6" s="30" t="inlineStr">
        <is>
          <t>10, 1, 3, 5</t>
        </is>
      </c>
      <c r="D6" s="43">
        <f>COUNTIF(Problems!$G$2:$G$24,A6)</f>
        <v/>
      </c>
      <c r="E6" s="44">
        <f>SUMIFS(Problems!$J$2:$J$24,Problems!$G$2:$G$24,A6)</f>
        <v/>
      </c>
      <c r="F6" s="43">
        <f>COUNTIFS(Problems!$G$2:$G$24,A6,Problems!$L$2:$L$24,"Done")</f>
        <v/>
      </c>
    </row>
    <row r="7" ht="30" customHeight="1" s="27">
      <c r="A7" s="31" t="inlineStr">
        <is>
          <t>P2 Complete upper bound</t>
        </is>
      </c>
      <c r="B7" s="30" t="inlineStr">
        <is>
          <t>Finish the upper bound with explicit ε-dependence.</t>
        </is>
      </c>
      <c r="C7" s="30" t="inlineStr">
        <is>
          <t>7, 8, 6, 2, 4</t>
        </is>
      </c>
      <c r="D7" s="43">
        <f>COUNTIF(Problems!$G$2:$G$24,A7)</f>
        <v/>
      </c>
      <c r="E7" s="44">
        <f>SUMIFS(Problems!$J$2:$J$24,Problems!$G$2:$G$24,A7)</f>
        <v/>
      </c>
      <c r="F7" s="43">
        <f>COUNTIFS(Problems!$G$2:$G$24,A7,Problems!$L$2:$L$24,"Done")</f>
        <v/>
      </c>
    </row>
    <row r="8" ht="33" customHeight="1" s="27">
      <c r="A8" s="31" t="inlineStr">
        <is>
          <t>P3 Lower bound and simulation</t>
        </is>
      </c>
      <c r="B8" s="30" t="inlineStr">
        <is>
          <t>Add the matching lower bound and confirm scalings by simulation.</t>
        </is>
      </c>
      <c r="C8" s="30" t="inlineStr">
        <is>
          <t>9, 12, 19</t>
        </is>
      </c>
      <c r="D8" s="43">
        <f>COUNTIF(Problems!$G$2:$G$24,A8)</f>
        <v/>
      </c>
      <c r="E8" s="44">
        <f>SUMIFS(Problems!$J$2:$J$24,Problems!$G$2:$G$24,A8)</f>
        <v/>
      </c>
      <c r="F8" s="43">
        <f>COUNTIFS(Problems!$G$2:$G$24,A8,Problems!$L$2:$L$24,"Done")</f>
        <v/>
      </c>
    </row>
    <row r="9" ht="33" customHeight="1" s="27">
      <c r="A9" s="31" t="inlineStr">
        <is>
          <t>P4 Stretch and validation</t>
        </is>
      </c>
      <c r="B9" s="30" t="inlineStr">
        <is>
          <t>Item 11 is the stretch goal that makes the paper strong. Add baselines and real data.</t>
        </is>
      </c>
      <c r="C9" s="30" t="inlineStr">
        <is>
          <t>11, 21, 20</t>
        </is>
      </c>
      <c r="D9" s="43">
        <f>COUNTIF(Problems!$G$2:$G$24,A9)</f>
        <v/>
      </c>
      <c r="E9" s="44">
        <f>SUMIFS(Problems!$J$2:$J$24,Problems!$G$2:$G$24,A9)</f>
        <v/>
      </c>
      <c r="F9" s="43">
        <f>COUNTIFS(Problems!$G$2:$G$24,A9,Problems!$L$2:$L$24,"Done")</f>
        <v/>
      </c>
    </row>
    <row r="10" ht="33" customHeight="1" s="27">
      <c r="A10" s="31" t="inlineStr">
        <is>
          <t>P5 Second paper or optional</t>
        </is>
      </c>
      <c r="B10" s="30" t="inlineStr">
        <is>
          <t>Drift tracking and misspecification. Drop to a second paper if time runs short.</t>
        </is>
      </c>
      <c r="C10" s="30" t="inlineStr">
        <is>
          <t>13, 14, 15, 16, 17, 18</t>
        </is>
      </c>
      <c r="D10" s="43">
        <f>COUNTIF(Problems!$G$2:$G$24,A10)</f>
        <v/>
      </c>
      <c r="E10" s="44">
        <f>SUMIFS(Problems!$J$2:$J$24,Problems!$G$2:$G$24,A10)</f>
        <v/>
      </c>
      <c r="F10" s="43">
        <f>COUNTIFS(Problems!$G$2:$G$24,A10,Problems!$L$2:$L$24,"Done")</f>
        <v/>
      </c>
    </row>
    <row r="11" ht="15" customHeight="1" s="27">
      <c r="A11" s="36" t="inlineStr">
        <is>
          <t>Total</t>
        </is>
      </c>
      <c r="D11" s="45">
        <f>SUM(D5:D10)</f>
        <v/>
      </c>
      <c r="E11" s="46">
        <f>SUM(E5:E10)</f>
        <v/>
      </c>
      <c r="F11" s="45">
        <f>SUM(F5:F10)</f>
        <v/>
      </c>
    </row>
    <row r="13" ht="15" customHeight="1" s="27">
      <c r="A13" s="36" t="inlineStr">
        <is>
          <t>Working order, with titles pulled from the Problems sheet</t>
        </is>
      </c>
    </row>
    <row r="14" ht="15" customHeight="1" s="27">
      <c r="A14" s="28" t="inlineStr">
        <is>
          <t>Step</t>
        </is>
      </c>
      <c r="B14" s="28" t="inlineStr">
        <is>
          <t>ID</t>
        </is>
      </c>
      <c r="C14" s="28" t="inlineStr">
        <is>
          <t>Problem</t>
        </is>
      </c>
      <c r="D14" s="28" t="inlineStr">
        <is>
          <t>Priority</t>
        </is>
      </c>
      <c r="E14" s="28" t="inlineStr">
        <is>
          <t>Est. weeks</t>
        </is>
      </c>
      <c r="F14" s="28" t="inlineStr">
        <is>
          <t>Status</t>
        </is>
      </c>
    </row>
    <row r="15" ht="15" customHeight="1" s="27">
      <c r="A15" s="29" t="n">
        <v>1</v>
      </c>
      <c r="B15" s="32" t="n">
        <v>10</v>
      </c>
      <c r="C15" s="47">
        <f>IFERROR(INDEX(Problems!$C$2:$C$24,MATCH($B15,Problems!$A$2:$A$24,0)),"")</f>
        <v/>
      </c>
      <c r="D15" s="48">
        <f>IFERROR(INDEX(Problems!$H$2:$H$24,MATCH($B15,Problems!$A$2:$A$24,0)),"")</f>
        <v/>
      </c>
      <c r="E15" s="49">
        <f>IFERROR(INDEX(Problems!$J$2:$J$24,MATCH($B15,Problems!$A$2:$A$24,0)),"")</f>
        <v/>
      </c>
      <c r="F15" s="48">
        <f>IFERROR(INDEX(Problems!$L$2:$L$24,MATCH($B15,Problems!$A$2:$A$24,0)),"")</f>
        <v/>
      </c>
    </row>
    <row r="16" ht="15" customHeight="1" s="27">
      <c r="A16" s="29" t="n">
        <v>2</v>
      </c>
      <c r="B16" s="32" t="n">
        <v>1</v>
      </c>
      <c r="C16" s="47">
        <f>IFERROR(INDEX(Problems!$C$2:$C$24,MATCH($B16,Problems!$A$2:$A$24,0)),"")</f>
        <v/>
      </c>
      <c r="D16" s="48">
        <f>IFERROR(INDEX(Problems!$H$2:$H$24,MATCH($B16,Problems!$A$2:$A$24,0)),"")</f>
        <v/>
      </c>
      <c r="E16" s="49">
        <f>IFERROR(INDEX(Problems!$J$2:$J$24,MATCH($B16,Problems!$A$2:$A$24,0)),"")</f>
        <v/>
      </c>
      <c r="F16" s="48">
        <f>IFERROR(INDEX(Problems!$L$2:$L$24,MATCH($B16,Problems!$A$2:$A$24,0)),"")</f>
        <v/>
      </c>
    </row>
    <row r="17" ht="15" customHeight="1" s="27">
      <c r="A17" s="29" t="n">
        <v>3</v>
      </c>
      <c r="B17" s="32" t="n">
        <v>3</v>
      </c>
      <c r="C17" s="47">
        <f>IFERROR(INDEX(Problems!$C$2:$C$24,MATCH($B17,Problems!$A$2:$A$24,0)),"")</f>
        <v/>
      </c>
      <c r="D17" s="48">
        <f>IFERROR(INDEX(Problems!$H$2:$H$24,MATCH($B17,Problems!$A$2:$A$24,0)),"")</f>
        <v/>
      </c>
      <c r="E17" s="49">
        <f>IFERROR(INDEX(Problems!$J$2:$J$24,MATCH($B17,Problems!$A$2:$A$24,0)),"")</f>
        <v/>
      </c>
      <c r="F17" s="48">
        <f>IFERROR(INDEX(Problems!$L$2:$L$24,MATCH($B17,Problems!$A$2:$A$24,0)),"")</f>
        <v/>
      </c>
    </row>
    <row r="18" ht="15" customHeight="1" s="27">
      <c r="A18" s="29" t="n">
        <v>4</v>
      </c>
      <c r="B18" s="32" t="n">
        <v>5</v>
      </c>
      <c r="C18" s="47">
        <f>IFERROR(INDEX(Problems!$C$2:$C$24,MATCH($B18,Problems!$A$2:$A$24,0)),"")</f>
        <v/>
      </c>
      <c r="D18" s="48">
        <f>IFERROR(INDEX(Problems!$H$2:$H$24,MATCH($B18,Problems!$A$2:$A$24,0)),"")</f>
        <v/>
      </c>
      <c r="E18" s="49">
        <f>IFERROR(INDEX(Problems!$J$2:$J$24,MATCH($B18,Problems!$A$2:$A$24,0)),"")</f>
        <v/>
      </c>
      <c r="F18" s="48">
        <f>IFERROR(INDEX(Problems!$L$2:$L$24,MATCH($B18,Problems!$A$2:$A$24,0)),"")</f>
        <v/>
      </c>
    </row>
    <row r="19" ht="15" customHeight="1" s="27">
      <c r="A19" s="29" t="n">
        <v>5</v>
      </c>
      <c r="B19" s="32" t="n">
        <v>7</v>
      </c>
      <c r="C19" s="47">
        <f>IFERROR(INDEX(Problems!$C$2:$C$24,MATCH($B19,Problems!$A$2:$A$24,0)),"")</f>
        <v/>
      </c>
      <c r="D19" s="48">
        <f>IFERROR(INDEX(Problems!$H$2:$H$24,MATCH($B19,Problems!$A$2:$A$24,0)),"")</f>
        <v/>
      </c>
      <c r="E19" s="49">
        <f>IFERROR(INDEX(Problems!$J$2:$J$24,MATCH($B19,Problems!$A$2:$A$24,0)),"")</f>
        <v/>
      </c>
      <c r="F19" s="48">
        <f>IFERROR(INDEX(Problems!$L$2:$L$24,MATCH($B19,Problems!$A$2:$A$24,0)),"")</f>
        <v/>
      </c>
    </row>
    <row r="20" ht="15" customHeight="1" s="27">
      <c r="A20" s="29" t="n">
        <v>6</v>
      </c>
      <c r="B20" s="32" t="n">
        <v>8</v>
      </c>
      <c r="C20" s="47">
        <f>IFERROR(INDEX(Problems!$C$2:$C$24,MATCH($B20,Problems!$A$2:$A$24,0)),"")</f>
        <v/>
      </c>
      <c r="D20" s="48">
        <f>IFERROR(INDEX(Problems!$H$2:$H$24,MATCH($B20,Problems!$A$2:$A$24,0)),"")</f>
        <v/>
      </c>
      <c r="E20" s="49">
        <f>IFERROR(INDEX(Problems!$J$2:$J$24,MATCH($B20,Problems!$A$2:$A$24,0)),"")</f>
        <v/>
      </c>
      <c r="F20" s="48">
        <f>IFERROR(INDEX(Problems!$L$2:$L$24,MATCH($B20,Problems!$A$2:$A$24,0)),"")</f>
        <v/>
      </c>
    </row>
    <row r="21" ht="15" customHeight="1" s="27">
      <c r="A21" s="29" t="n">
        <v>7</v>
      </c>
      <c r="B21" s="32" t="n">
        <v>6</v>
      </c>
      <c r="C21" s="47">
        <f>IFERROR(INDEX(Problems!$C$2:$C$24,MATCH($B21,Problems!$A$2:$A$24,0)),"")</f>
        <v/>
      </c>
      <c r="D21" s="48">
        <f>IFERROR(INDEX(Problems!$H$2:$H$24,MATCH($B21,Problems!$A$2:$A$24,0)),"")</f>
        <v/>
      </c>
      <c r="E21" s="49">
        <f>IFERROR(INDEX(Problems!$J$2:$J$24,MATCH($B21,Problems!$A$2:$A$24,0)),"")</f>
        <v/>
      </c>
      <c r="F21" s="48">
        <f>IFERROR(INDEX(Problems!$L$2:$L$24,MATCH($B21,Problems!$A$2:$A$24,0)),"")</f>
        <v/>
      </c>
    </row>
    <row r="22" ht="15" customHeight="1" s="27">
      <c r="A22" s="29" t="n">
        <v>8</v>
      </c>
      <c r="B22" s="32" t="n">
        <v>2</v>
      </c>
      <c r="C22" s="47">
        <f>IFERROR(INDEX(Problems!$C$2:$C$24,MATCH($B22,Problems!$A$2:$A$24,0)),"")</f>
        <v/>
      </c>
      <c r="D22" s="48">
        <f>IFERROR(INDEX(Problems!$H$2:$H$24,MATCH($B22,Problems!$A$2:$A$24,0)),"")</f>
        <v/>
      </c>
      <c r="E22" s="49">
        <f>IFERROR(INDEX(Problems!$J$2:$J$24,MATCH($B22,Problems!$A$2:$A$24,0)),"")</f>
        <v/>
      </c>
      <c r="F22" s="48">
        <f>IFERROR(INDEX(Problems!$L$2:$L$24,MATCH($B22,Problems!$A$2:$A$24,0)),"")</f>
        <v/>
      </c>
    </row>
    <row r="23" ht="15" customHeight="1" s="27">
      <c r="A23" s="29" t="n">
        <v>9</v>
      </c>
      <c r="B23" s="32" t="n">
        <v>4</v>
      </c>
      <c r="C23" s="47">
        <f>IFERROR(INDEX(Problems!$C$2:$C$24,MATCH($B23,Problems!$A$2:$A$24,0)),"")</f>
        <v/>
      </c>
      <c r="D23" s="48">
        <f>IFERROR(INDEX(Problems!$H$2:$H$24,MATCH($B23,Problems!$A$2:$A$24,0)),"")</f>
        <v/>
      </c>
      <c r="E23" s="49">
        <f>IFERROR(INDEX(Problems!$J$2:$J$24,MATCH($B23,Problems!$A$2:$A$24,0)),"")</f>
        <v/>
      </c>
      <c r="F23" s="48">
        <f>IFERROR(INDEX(Problems!$L$2:$L$24,MATCH($B23,Problems!$A$2:$A$24,0)),"")</f>
        <v/>
      </c>
    </row>
    <row r="24" ht="15" customHeight="1" s="27">
      <c r="A24" s="29" t="n">
        <v>10</v>
      </c>
      <c r="B24" s="32" t="n">
        <v>9</v>
      </c>
      <c r="C24" s="47">
        <f>IFERROR(INDEX(Problems!$C$2:$C$24,MATCH($B24,Problems!$A$2:$A$24,0)),"")</f>
        <v/>
      </c>
      <c r="D24" s="48">
        <f>IFERROR(INDEX(Problems!$H$2:$H$24,MATCH($B24,Problems!$A$2:$A$24,0)),"")</f>
        <v/>
      </c>
      <c r="E24" s="49">
        <f>IFERROR(INDEX(Problems!$J$2:$J$24,MATCH($B24,Problems!$A$2:$A$24,0)),"")</f>
        <v/>
      </c>
      <c r="F24" s="48">
        <f>IFERROR(INDEX(Problems!$L$2:$L$24,MATCH($B24,Problems!$A$2:$A$24,0)),"")</f>
        <v/>
      </c>
    </row>
    <row r="25" ht="15" customHeight="1" s="27">
      <c r="A25" s="29" t="n">
        <v>11</v>
      </c>
      <c r="B25" s="32" t="n">
        <v>12</v>
      </c>
      <c r="C25" s="47">
        <f>IFERROR(INDEX(Problems!$C$2:$C$24,MATCH($B25,Problems!$A$2:$A$24,0)),"")</f>
        <v/>
      </c>
      <c r="D25" s="48">
        <f>IFERROR(INDEX(Problems!$H$2:$H$24,MATCH($B25,Problems!$A$2:$A$24,0)),"")</f>
        <v/>
      </c>
      <c r="E25" s="49">
        <f>IFERROR(INDEX(Problems!$J$2:$J$24,MATCH($B25,Problems!$A$2:$A$24,0)),"")</f>
        <v/>
      </c>
      <c r="F25" s="48">
        <f>IFERROR(INDEX(Problems!$L$2:$L$24,MATCH($B25,Problems!$A$2:$A$24,0)),"")</f>
        <v/>
      </c>
    </row>
    <row r="26" ht="15" customHeight="1" s="27">
      <c r="A26" s="29" t="n">
        <v>12</v>
      </c>
      <c r="B26" s="32" t="n">
        <v>19</v>
      </c>
      <c r="C26" s="47">
        <f>IFERROR(INDEX(Problems!$C$2:$C$24,MATCH($B26,Problems!$A$2:$A$24,0)),"")</f>
        <v/>
      </c>
      <c r="D26" s="48">
        <f>IFERROR(INDEX(Problems!$H$2:$H$24,MATCH($B26,Problems!$A$2:$A$24,0)),"")</f>
        <v/>
      </c>
      <c r="E26" s="49">
        <f>IFERROR(INDEX(Problems!$J$2:$J$24,MATCH($B26,Problems!$A$2:$A$24,0)),"")</f>
        <v/>
      </c>
      <c r="F26" s="48">
        <f>IFERROR(INDEX(Problems!$L$2:$L$24,MATCH($B26,Problems!$A$2:$A$24,0)),"")</f>
        <v/>
      </c>
    </row>
    <row r="27" ht="15" customHeight="1" s="27">
      <c r="A27" s="29" t="n">
        <v>13</v>
      </c>
      <c r="B27" s="32" t="n">
        <v>11</v>
      </c>
      <c r="C27" s="47">
        <f>IFERROR(INDEX(Problems!$C$2:$C$24,MATCH($B27,Problems!$A$2:$A$24,0)),"")</f>
        <v/>
      </c>
      <c r="D27" s="48">
        <f>IFERROR(INDEX(Problems!$H$2:$H$24,MATCH($B27,Problems!$A$2:$A$24,0)),"")</f>
        <v/>
      </c>
      <c r="E27" s="49">
        <f>IFERROR(INDEX(Problems!$J$2:$J$24,MATCH($B27,Problems!$A$2:$A$24,0)),"")</f>
        <v/>
      </c>
      <c r="F27" s="48">
        <f>IFERROR(INDEX(Problems!$L$2:$L$24,MATCH($B27,Problems!$A$2:$A$24,0)),"")</f>
        <v/>
      </c>
    </row>
    <row r="28" ht="15" customHeight="1" s="27">
      <c r="A28" s="29" t="n">
        <v>14</v>
      </c>
      <c r="B28" s="32" t="n">
        <v>21</v>
      </c>
      <c r="C28" s="47">
        <f>IFERROR(INDEX(Problems!$C$2:$C$24,MATCH($B28,Problems!$A$2:$A$24,0)),"")</f>
        <v/>
      </c>
      <c r="D28" s="48">
        <f>IFERROR(INDEX(Problems!$H$2:$H$24,MATCH($B28,Problems!$A$2:$A$24,0)),"")</f>
        <v/>
      </c>
      <c r="E28" s="49">
        <f>IFERROR(INDEX(Problems!$J$2:$J$24,MATCH($B28,Problems!$A$2:$A$24,0)),"")</f>
        <v/>
      </c>
      <c r="F28" s="48">
        <f>IFERROR(INDEX(Problems!$L$2:$L$24,MATCH($B28,Problems!$A$2:$A$24,0)),"")</f>
        <v/>
      </c>
    </row>
    <row r="29" ht="15" customHeight="1" s="27">
      <c r="A29" s="29" t="n">
        <v>15</v>
      </c>
      <c r="B29" s="32" t="n">
        <v>20</v>
      </c>
      <c r="C29" s="47">
        <f>IFERROR(INDEX(Problems!$C$2:$C$24,MATCH($B29,Problems!$A$2:$A$24,0)),"")</f>
        <v/>
      </c>
      <c r="D29" s="48">
        <f>IFERROR(INDEX(Problems!$H$2:$H$24,MATCH($B29,Problems!$A$2:$A$24,0)),"")</f>
        <v/>
      </c>
      <c r="E29" s="49">
        <f>IFERROR(INDEX(Problems!$J$2:$J$24,MATCH($B29,Problems!$A$2:$A$24,0)),"")</f>
        <v/>
      </c>
      <c r="F29" s="48">
        <f>IFERROR(INDEX(Problems!$L$2:$L$24,MATCH($B29,Problems!$A$2:$A$24,0)),"")</f>
        <v/>
      </c>
    </row>
    <row r="30" ht="15" customHeight="1" s="27">
      <c r="A30" s="29" t="n">
        <v>16</v>
      </c>
      <c r="B30" s="32" t="n">
        <v>13</v>
      </c>
      <c r="C30" s="47">
        <f>IFERROR(INDEX(Problems!$C$2:$C$24,MATCH($B30,Problems!$A$2:$A$24,0)),"")</f>
        <v/>
      </c>
      <c r="D30" s="48">
        <f>IFERROR(INDEX(Problems!$H$2:$H$24,MATCH($B30,Problems!$A$2:$A$24,0)),"")</f>
        <v/>
      </c>
      <c r="E30" s="49">
        <f>IFERROR(INDEX(Problems!$J$2:$J$24,MATCH($B30,Problems!$A$2:$A$24,0)),"")</f>
        <v/>
      </c>
      <c r="F30" s="48">
        <f>IFERROR(INDEX(Problems!$L$2:$L$24,MATCH($B30,Problems!$A$2:$A$24,0)),"")</f>
        <v/>
      </c>
    </row>
    <row r="31" ht="15" customHeight="1" s="27">
      <c r="A31" s="29" t="n">
        <v>17</v>
      </c>
      <c r="B31" s="32" t="n">
        <v>14</v>
      </c>
      <c r="C31" s="47">
        <f>IFERROR(INDEX(Problems!$C$2:$C$24,MATCH($B31,Problems!$A$2:$A$24,0)),"")</f>
        <v/>
      </c>
      <c r="D31" s="48">
        <f>IFERROR(INDEX(Problems!$H$2:$H$24,MATCH($B31,Problems!$A$2:$A$24,0)),"")</f>
        <v/>
      </c>
      <c r="E31" s="49">
        <f>IFERROR(INDEX(Problems!$J$2:$J$24,MATCH($B31,Problems!$A$2:$A$24,0)),"")</f>
        <v/>
      </c>
      <c r="F31" s="48">
        <f>IFERROR(INDEX(Problems!$L$2:$L$24,MATCH($B31,Problems!$A$2:$A$24,0)),"")</f>
        <v/>
      </c>
    </row>
    <row r="32" ht="15" customHeight="1" s="27">
      <c r="A32" s="29" t="n">
        <v>18</v>
      </c>
      <c r="B32" s="32" t="n">
        <v>15</v>
      </c>
      <c r="C32" s="47">
        <f>IFERROR(INDEX(Problems!$C$2:$C$24,MATCH($B32,Problems!$A$2:$A$24,0)),"")</f>
        <v/>
      </c>
      <c r="D32" s="48">
        <f>IFERROR(INDEX(Problems!$H$2:$H$24,MATCH($B32,Problems!$A$2:$A$24,0)),"")</f>
        <v/>
      </c>
      <c r="E32" s="49">
        <f>IFERROR(INDEX(Problems!$J$2:$J$24,MATCH($B32,Problems!$A$2:$A$24,0)),"")</f>
        <v/>
      </c>
      <c r="F32" s="48">
        <f>IFERROR(INDEX(Problems!$L$2:$L$24,MATCH($B32,Problems!$A$2:$A$24,0)),"")</f>
        <v/>
      </c>
    </row>
    <row r="33" ht="15" customHeight="1" s="27">
      <c r="A33" s="29" t="n">
        <v>19</v>
      </c>
      <c r="B33" s="32" t="n">
        <v>16</v>
      </c>
      <c r="C33" s="47">
        <f>IFERROR(INDEX(Problems!$C$2:$C$24,MATCH($B33,Problems!$A$2:$A$24,0)),"")</f>
        <v/>
      </c>
      <c r="D33" s="48">
        <f>IFERROR(INDEX(Problems!$H$2:$H$24,MATCH($B33,Problems!$A$2:$A$24,0)),"")</f>
        <v/>
      </c>
      <c r="E33" s="49">
        <f>IFERROR(INDEX(Problems!$J$2:$J$24,MATCH($B33,Problems!$A$2:$A$24,0)),"")</f>
        <v/>
      </c>
      <c r="F33" s="48">
        <f>IFERROR(INDEX(Problems!$L$2:$L$24,MATCH($B33,Problems!$A$2:$A$24,0)),"")</f>
        <v/>
      </c>
    </row>
    <row r="34" ht="15" customHeight="1" s="27">
      <c r="A34" s="29" t="n">
        <v>20</v>
      </c>
      <c r="B34" s="32" t="n">
        <v>17</v>
      </c>
      <c r="C34" s="47">
        <f>IFERROR(INDEX(Problems!$C$2:$C$24,MATCH($B34,Problems!$A$2:$A$24,0)),"")</f>
        <v/>
      </c>
      <c r="D34" s="48">
        <f>IFERROR(INDEX(Problems!$H$2:$H$24,MATCH($B34,Problems!$A$2:$A$24,0)),"")</f>
        <v/>
      </c>
      <c r="E34" s="49">
        <f>IFERROR(INDEX(Problems!$J$2:$J$24,MATCH($B34,Problems!$A$2:$A$24,0)),"")</f>
        <v/>
      </c>
      <c r="F34" s="48">
        <f>IFERROR(INDEX(Problems!$L$2:$L$24,MATCH($B34,Problems!$A$2:$A$24,0)),"")</f>
        <v/>
      </c>
    </row>
    <row r="35" ht="15" customHeight="1" s="27">
      <c r="A35" s="29" t="n">
        <v>21</v>
      </c>
      <c r="B35" s="32" t="n">
        <v>18</v>
      </c>
      <c r="C35" s="47">
        <f>IFERROR(INDEX(Problems!$C$2:$C$24,MATCH($B35,Problems!$A$2:$A$24,0)),"")</f>
        <v/>
      </c>
      <c r="D35" s="48">
        <f>IFERROR(INDEX(Problems!$H$2:$H$24,MATCH($B35,Problems!$A$2:$A$24,0)),"")</f>
        <v/>
      </c>
      <c r="E35" s="49">
        <f>IFERROR(INDEX(Problems!$J$2:$J$24,MATCH($B35,Problems!$A$2:$A$24,0)),"")</f>
        <v/>
      </c>
      <c r="F35" s="48">
        <f>IFERROR(INDEX(Problems!$L$2:$L$24,MATCH($B35,Problems!$A$2:$A$24,0)),"")</f>
        <v/>
      </c>
    </row>
    <row r="36" ht="15" customHeight="1" s="27">
      <c r="A36" s="29" t="n">
        <v>22</v>
      </c>
      <c r="B36" s="32" t="n">
        <v>22</v>
      </c>
      <c r="C36" s="47">
        <f>IFERROR(INDEX(Problems!$C$2:$C$24,MATCH($B36,Problems!$A$2:$A$24,0)),"")</f>
        <v/>
      </c>
      <c r="D36" s="48">
        <f>IFERROR(INDEX(Problems!$H$2:$H$24,MATCH($B36,Problems!$A$2:$A$24,0)),"")</f>
        <v/>
      </c>
      <c r="E36" s="49">
        <f>IFERROR(INDEX(Problems!$J$2:$J$24,MATCH($B36,Problems!$A$2:$A$24,0)),"")</f>
        <v/>
      </c>
      <c r="F36" s="48">
        <f>IFERROR(INDEX(Problems!$L$2:$L$24,MATCH($B36,Problems!$A$2:$A$24,0)),"")</f>
        <v/>
      </c>
    </row>
    <row r="37" ht="15" customHeight="1" s="27">
      <c r="A37" s="29" t="n">
        <v>23</v>
      </c>
      <c r="B37" s="32" t="n">
        <v>23</v>
      </c>
      <c r="C37" s="47">
        <f>IFERROR(INDEX(Problems!$C$2:$C$24,MATCH($B37,Problems!$A$2:$A$24,0)),"")</f>
        <v/>
      </c>
      <c r="D37" s="48">
        <f>IFERROR(INDEX(Problems!$H$2:$H$24,MATCH($B37,Problems!$A$2:$A$24,0)),"")</f>
        <v/>
      </c>
      <c r="E37" s="49">
        <f>IFERROR(INDEX(Problems!$J$2:$J$24,MATCH($B37,Problems!$A$2:$A$24,0)),"")</f>
        <v/>
      </c>
      <c r="F37" s="48">
        <f>IFERROR(INDEX(Problems!$L$2:$L$24,MATCH($B37,Problems!$A$2:$A$24,0)),"")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H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26" min="1" max="1"/>
    <col width="48" customWidth="1" style="26" min="2" max="2"/>
    <col width="34" customWidth="1" style="26" min="3" max="3"/>
    <col width="24" customWidth="1" style="26" min="4" max="4"/>
    <col width="14" customWidth="1" style="26" min="5" max="5"/>
    <col width="52" customWidth="1" style="26" min="6" max="6"/>
    <col width="11" customWidth="1" style="26" min="7" max="7"/>
    <col width="13" customWidth="1" style="26" min="8" max="8"/>
  </cols>
  <sheetData>
    <row r="1" ht="31.5" customHeight="1" s="27">
      <c r="A1" s="28" t="inlineStr">
        <is>
          <t>Read order</t>
        </is>
      </c>
      <c r="B1" s="28" t="inlineStr">
        <is>
          <t>Paper</t>
        </is>
      </c>
      <c r="C1" s="28" t="inlineStr">
        <is>
          <t>Authors / venue</t>
        </is>
      </c>
      <c r="D1" s="28" t="inlineStr">
        <is>
          <t>Link or id</t>
        </is>
      </c>
      <c r="E1" s="28" t="inlineStr">
        <is>
          <t>Relevant to problem IDs</t>
        </is>
      </c>
      <c r="F1" s="28" t="inlineStr">
        <is>
          <t>What to extract</t>
        </is>
      </c>
      <c r="G1" s="28" t="inlineStr">
        <is>
          <t>Overlap risk</t>
        </is>
      </c>
      <c r="H1" s="28" t="inlineStr">
        <is>
          <t>Read status</t>
        </is>
      </c>
    </row>
    <row r="2" ht="46.5" customHeight="1" s="27">
      <c r="A2" s="29" t="n">
        <v>1</v>
      </c>
      <c r="B2" s="31" t="inlineStr">
        <is>
          <t>Learning the exogenous rate but not the distance to criticality in nearly unstable heavy-tailed Hawkes processes</t>
        </is>
      </c>
      <c r="C2" s="30" t="inlineStr">
        <is>
          <t>Herrera-Marín, arXiv, Sept 2026 (unrefereed)</t>
        </is>
      </c>
      <c r="D2" s="30" t="inlineStr">
        <is>
          <t>arXiv 2609.38268</t>
        </is>
      </c>
      <c r="E2" s="29" t="inlineStr">
        <is>
          <t>9, 10, 11, 12</t>
        </is>
      </c>
      <c r="F2" s="30" t="inlineStr">
        <is>
          <t>Theorem 2.2 (kernel-agnostic KL bound), Theorem 4.1, Remark 4.8 (the half-open Feller-type dichotomy).</t>
        </is>
      </c>
      <c r="G2" s="29" t="inlineStr">
        <is>
          <t>High</t>
        </is>
      </c>
      <c r="H2" s="32" t="inlineStr">
        <is>
          <t>Read 25 Oct 2026 (full text). Thm 2.2, Cor 2.3, Thm 4.1, Rem 4.8 re-derived and tested numerically; overlap with C3 and the kappa&lt;=1 half of C4 confirmed. See literature_crosscheck.md.</t>
        </is>
      </c>
    </row>
    <row r="3" ht="33" customHeight="1" s="27">
      <c r="A3" s="29" t="n">
        <v>2</v>
      </c>
      <c r="B3" s="31" t="inlineStr">
        <is>
          <t>Minimax and adaptive inference for branching ratios under long memory</t>
        </is>
      </c>
      <c r="C3" s="30" t="inlineStr">
        <is>
          <t>Herrera-Marín, arXiv, Sept 2026 (unrefereed)</t>
        </is>
      </c>
      <c r="D3" s="30" t="inlineStr">
        <is>
          <t>arXiv 2609.38267</t>
        </is>
      </c>
      <c r="E3" s="29" t="inlineStr">
        <is>
          <t>16, 17, 18</t>
        </is>
      </c>
      <c r="F3" s="30" t="inlineStr">
        <is>
          <t>Section 5: pseudo-true branching ratio for sums of K exponentials, quadratic surrogate, flat directions.</t>
        </is>
      </c>
      <c r="G3" s="29" t="inlineStr">
        <is>
          <t>High</t>
        </is>
      </c>
      <c r="H3" s="32" t="inlineStr">
        <is>
          <t>Partly read 25 Oct 2026 (abstract, Sec 5, Sec 6.2 only). Thm 3.1 and its proof NOT checked.</t>
        </is>
      </c>
    </row>
    <row r="4" ht="33" customHeight="1" s="27">
      <c r="A4" s="29" t="n">
        <v>3</v>
      </c>
      <c r="B4" s="31" t="inlineStr">
        <is>
          <t>Tracking Dynamic Point Processes on Networks</t>
        </is>
      </c>
      <c r="C4" s="30" t="inlineStr">
        <is>
          <t>Hall and Willett, IEEE Trans. Inf. Theory 62(7), 2016</t>
        </is>
      </c>
      <c r="D4" s="30" t="inlineStr">
        <is>
          <t>arXiv 1409.0031</t>
        </is>
      </c>
      <c r="E4" s="29" t="inlineStr">
        <is>
          <t>5, 13, 21</t>
        </is>
      </c>
      <c r="F4" s="30" t="inlineStr">
        <is>
          <t>Dynamic mirror descent setup, √T tracking regret and its assumptions.</t>
        </is>
      </c>
      <c r="G4" s="29" t="inlineStr">
        <is>
          <t>Medium</t>
        </is>
      </c>
      <c r="H4" s="32" t="inlineStr">
        <is>
          <t>Partly read 25 Oct 2026 (Thm 1 statement, Appendix C parametrisation). Proof NOT checked.</t>
        </is>
      </c>
    </row>
    <row r="5" ht="33" customHeight="1" s="27">
      <c r="A5" s="29" t="n">
        <v>4</v>
      </c>
      <c r="B5" s="31" t="inlineStr">
        <is>
          <t>Online Learning for Multivariate Hawkes Processes</t>
        </is>
      </c>
      <c r="C5" s="30" t="inlineStr">
        <is>
          <t>Yang, Etesami, He, Kiyavash, NeurIPS 2017</t>
        </is>
      </c>
      <c r="D5" s="30" t="inlineStr">
        <is>
          <t>proceedings.neurips.cc (2017, paper 92a0e7a4…)</t>
        </is>
      </c>
      <c r="E5" s="29" t="inlineStr">
        <is>
          <t>5, 6, 21</t>
        </is>
      </c>
      <c r="F5" s="30" t="inlineStr">
        <is>
          <t>How log T is obtained (Tikhonov regularization, discretization, truncation) and what that costs.</t>
        </is>
      </c>
      <c r="G5" s="29" t="inlineStr">
        <is>
          <t>Medium</t>
        </is>
      </c>
      <c r="H5" s="32" t="inlineStr">
        <is>
          <t>Not read (the arXiv version in the next row was read instead).</t>
        </is>
      </c>
    </row>
    <row r="6" ht="33" customHeight="1" s="27">
      <c r="A6" s="29" t="n">
        <v>5</v>
      </c>
      <c r="B6" s="31" t="inlineStr">
        <is>
          <t>Nonparametric Hawkes Processes: Online Estimation and Generalization Bounds</t>
        </is>
      </c>
      <c r="C6" s="30" t="inlineStr">
        <is>
          <t>Yang, Etesami, He, Kiyavash, arXiv</t>
        </is>
      </c>
      <c r="D6" s="30" t="inlineStr">
        <is>
          <t>arXiv 1801.08273</t>
        </is>
      </c>
      <c r="E6" s="29" t="inlineStr">
        <is>
          <t>5, 6</t>
        </is>
      </c>
      <c r="F6" s="30" t="inlineStr">
        <is>
          <t>Journal-version regret and stability claims; marked extension.</t>
        </is>
      </c>
      <c r="G6" s="29" t="inlineStr">
        <is>
          <t>Medium</t>
        </is>
      </c>
      <c r="H6" s="32" t="inlineStr">
        <is>
          <t>Read 25 Oct 2026 (assumptions, eq. (8)-(9), Thm 2, Cor 1). Proof of Thm 2 only skimmed. See literature_crosscheck.md.</t>
        </is>
      </c>
    </row>
    <row r="7" ht="33" customHeight="1" s="27">
      <c r="A7" s="29" t="n">
        <v>6</v>
      </c>
      <c r="B7" s="31" t="inlineStr">
        <is>
          <t>Non-Negative Online Estimation for Hawkes Process Networks</t>
        </is>
      </c>
      <c r="C7" s="30" t="inlineStr">
        <is>
          <t>Piggott and Solo, ICASSP 2018, pp. 6333-6337 (listed earlier as "Solo")</t>
        </is>
      </c>
      <c r="D7" s="30" t="inlineStr">
        <is>
          <t>IEEE Xplore 8462138</t>
        </is>
      </c>
      <c r="E7" s="29" t="inlineStr">
        <is>
          <t>13, 15, 21</t>
        </is>
      </c>
      <c r="F7" s="30" t="inlineStr">
        <is>
          <t>Fixed-gain recursive estimator on an exponential-type basis; closest prior art for constant step size.</t>
        </is>
      </c>
      <c r="G7" s="29" t="inlineStr">
        <is>
          <t>High</t>
        </is>
      </c>
      <c r="H7" s="32" t="inlineStr">
        <is>
          <t>Reading: abstract read 25 Oct 2026 (via OpenAlex); full text NOT obtained. Fixed-gain exponentially weighted least squares on a Laguerre basis, non-negativity preserving, two time scales, simulations; abstract states no regret bound or near-critical analysis. See literature_search_report.md.</t>
        </is>
      </c>
    </row>
    <row r="8" ht="33" customHeight="1" s="27">
      <c r="A8" s="29" t="n">
        <v>7</v>
      </c>
      <c r="B8" s="31" t="inlineStr">
        <is>
          <t>Hawkes Identification with a Prescribed Causal Basis</t>
        </is>
      </c>
      <c r="C8" s="30" t="inlineStr">
        <is>
          <t>Rong and Nair, arXiv, Feb 2026</t>
        </is>
      </c>
      <c r="D8" s="30" t="inlineStr">
        <is>
          <t>arXiv 2602.20795</t>
        </is>
      </c>
      <c r="E8" s="29" t="inlineStr">
        <is>
          <t>16, 17</t>
        </is>
      </c>
      <c r="F8" s="30" t="inlineStr">
        <is>
          <t>Pseudo-true parameters and CLTs under misspecification (least squares, batch).</t>
        </is>
      </c>
      <c r="G8" s="29" t="inlineStr">
        <is>
          <t>Medium</t>
        </is>
      </c>
      <c r="H8" s="32" t="inlineStr">
        <is>
          <t>Not started</t>
        </is>
      </c>
    </row>
    <row r="9" ht="33" customHeight="1" s="27">
      <c r="A9" s="29" t="n">
        <v>8</v>
      </c>
      <c r="B9" s="31" t="inlineStr">
        <is>
          <t>A non-local estimator for locally stationary Hawkes processes</t>
        </is>
      </c>
      <c r="C9" s="30" t="inlineStr">
        <is>
          <t>Deschatre, Gruet, Lotz, arXiv, June 2025</t>
        </is>
      </c>
      <c r="D9" s="30" t="inlineStr">
        <is>
          <t>arXiv 2506.02631</t>
        </is>
      </c>
      <c r="E9" s="29" t="inlineStr">
        <is>
          <t>13, 14</t>
        </is>
      </c>
      <c r="F9" s="30" t="inlineStr">
        <is>
          <t>Batch MLE theory for time-varying baseline and reproduction rate.</t>
        </is>
      </c>
      <c r="G9" s="29" t="inlineStr">
        <is>
          <t>Medium</t>
        </is>
      </c>
      <c r="H9" s="32" t="inlineStr">
        <is>
          <t>Not started</t>
        </is>
      </c>
    </row>
    <row r="10" ht="33" customHeight="1" s="27">
      <c r="A10" s="29" t="n">
        <v>9</v>
      </c>
      <c r="B10" s="31" t="inlineStr">
        <is>
          <t>Limit theorems for nearly unstable Hawkes processes</t>
        </is>
      </c>
      <c r="C10" s="30" t="inlineStr">
        <is>
          <t>Jaisson and Rosenbaum, Ann. Appl. Probab. 25(2), 2015</t>
        </is>
      </c>
      <c r="D10" s="30" t="inlineStr">
        <is>
          <t>arXiv 1310.2033</t>
        </is>
      </c>
      <c r="E10" s="29" t="inlineStr">
        <is>
          <t>10, 11</t>
        </is>
      </c>
      <c r="F10" s="30" t="inlineStr">
        <is>
          <t>Integrated-CIR scaling limit when T(1−a_T) → λ; the starting point for the information analysis.</t>
        </is>
      </c>
      <c r="G10" s="29" t="inlineStr">
        <is>
          <t>Low</t>
        </is>
      </c>
      <c r="H10" s="32" t="inlineStr">
        <is>
          <t>Read 25 Oct 2026 (assumptions, Prop 2.1-2.2, Thm 2.2, heuristic derivation); tested against exact K=1 Hawkes. Proof NOT checked.</t>
        </is>
      </c>
    </row>
    <row r="11" ht="33" customHeight="1" s="27">
      <c r="A11" s="29" t="n">
        <v>10</v>
      </c>
      <c r="B11" s="31" t="inlineStr">
        <is>
          <t>Logarithmic regret algorithms for online convex optimization</t>
        </is>
      </c>
      <c r="C11" s="30" t="inlineStr">
        <is>
          <t>Hazan, Agarwal, Kale, Machine Learning 69, 2007</t>
        </is>
      </c>
      <c r="D11" s="30" t="inlineStr">
        <is>
          <t>ONS reference</t>
        </is>
      </c>
      <c r="E11" s="29" t="inlineStr">
        <is>
          <t>5, 6</t>
        </is>
      </c>
      <c r="F11" s="30" t="inlineStr">
        <is>
          <t>ONS analysis and where exp-concavity is used, to see exactly what must be replaced.</t>
        </is>
      </c>
      <c r="G11" s="29" t="inlineStr">
        <is>
          <t>Low</t>
        </is>
      </c>
      <c r="H11" s="32" t="inlineStr">
        <is>
          <t>Original returned HTTP 403. Read Hazan's monograph arXiv 1909.05207 Sec 4.2/4.4 instead (criterion, Thm 4.5 statement); proof not re-derived.</t>
        </is>
      </c>
    </row>
    <row r="12" ht="33" customHeight="1" s="27">
      <c r="A12" s="29" t="n">
        <v>11</v>
      </c>
      <c r="B12" s="31" t="inlineStr">
        <is>
          <t>Functional limit theorems for Hawkes processes</t>
        </is>
      </c>
      <c r="C12" s="30" t="inlineStr">
        <is>
          <t>Horst and Xu, arXiv, 2024</t>
        </is>
      </c>
      <c r="D12" s="30" t="inlineStr">
        <is>
          <t>arXiv 2401.11495</t>
        </is>
      </c>
      <c r="E12" s="29" t="inlineStr">
        <is>
          <t>10, 11</t>
        </is>
      </c>
      <c r="F12" s="30" t="inlineStr">
        <is>
          <t>Critical Hawkes processes behave like CIR without mean reversion.</t>
        </is>
      </c>
      <c r="G12" s="29" t="inlineStr">
        <is>
          <t>Low</t>
        </is>
      </c>
      <c r="H12" s="32" t="inlineStr">
        <is>
          <t>Not started</t>
        </is>
      </c>
    </row>
    <row r="13" ht="33" customHeight="1" s="27">
      <c r="A13" s="29" t="n">
        <v>12</v>
      </c>
      <c r="B13" s="31" t="inlineStr">
        <is>
          <t>Change Point Detection and Mean-Field Dynamics of Variable Productivity Hawkes Processes</t>
        </is>
      </c>
      <c r="C13" s="30" t="inlineStr">
        <is>
          <t>Kresin, Baeumer, Phillips, arXiv, Dec 2025</t>
        </is>
      </c>
      <c r="D13" s="30" t="inlineStr">
        <is>
          <t>arXiv 2512.20068</t>
        </is>
      </c>
      <c r="E13" s="29" t="inlineStr">
        <is>
          <t>13, 14</t>
        </is>
      </c>
      <c r="F13" s="30" t="inlineStr">
        <is>
          <t>Post-change boundary-layer Fisher information; ingredient for the variance term in tracking.</t>
        </is>
      </c>
      <c r="G13" s="29" t="inlineStr">
        <is>
          <t>Medium</t>
        </is>
      </c>
      <c r="H13" s="32" t="inlineStr">
        <is>
          <t>Not started</t>
        </is>
      </c>
    </row>
    <row r="14" ht="33" customHeight="1" s="27">
      <c r="A14" s="29" t="n">
        <v>13</v>
      </c>
      <c r="B14" s="31" t="inlineStr">
        <is>
          <t>Markov approximation for controlled Hawkes jump-diffusions with general kernels</t>
        </is>
      </c>
      <c r="C14" s="30" t="inlineStr">
        <is>
          <t>Khabou and Talbi, arXiv, July 2025</t>
        </is>
      </c>
      <c r="D14" s="30" t="inlineStr">
        <is>
          <t>arXiv 2507.11294</t>
        </is>
      </c>
      <c r="E14" s="29" t="inlineStr">
        <is>
          <t>16, 17, 18</t>
        </is>
      </c>
      <c r="F14" s="30" t="inlineStr">
        <is>
          <t>Sums of exponentials as universal approximators; no statistics or K-rates.</t>
        </is>
      </c>
      <c r="G14" s="29" t="inlineStr">
        <is>
          <t>Low</t>
        </is>
      </c>
      <c r="H14" s="32" t="inlineStr">
        <is>
          <t>Not started</t>
        </is>
      </c>
    </row>
    <row r="15" ht="33" customHeight="1" s="27">
      <c r="A15" s="29" t="n">
        <v>14</v>
      </c>
      <c r="B15" s="31" t="inlineStr">
        <is>
          <t>Critical reflexivity in financial markets: a Hawkes process analysis</t>
        </is>
      </c>
      <c r="C15" s="30" t="inlineStr">
        <is>
          <t>Hardiman, Bercot, Bouchaud, arXiv</t>
        </is>
      </c>
      <c r="D15" s="30" t="inlineStr">
        <is>
          <t>arXiv 1302.1405</t>
        </is>
      </c>
      <c r="E15" s="29" t="inlineStr">
        <is>
          <t>18, 20</t>
        </is>
      </c>
      <c r="F15" s="30" t="inlineStr">
        <is>
          <t>Empirical bias of exponential fits to a power-law process.</t>
        </is>
      </c>
      <c r="G15" s="29" t="inlineStr">
        <is>
          <t>Low</t>
        </is>
      </c>
      <c r="H15" s="32" t="inlineStr">
        <is>
          <t>Not started</t>
        </is>
      </c>
    </row>
    <row r="16" ht="33" customHeight="1" s="27">
      <c r="A16" s="29" t="n">
        <v>15</v>
      </c>
      <c r="B16" s="31" t="inlineStr">
        <is>
          <t>The limits of statistical significance of Hawkes processes fitted to financial data</t>
        </is>
      </c>
      <c r="C16" s="30" t="inlineStr">
        <is>
          <t>Lallouache and Challet, Quantitative Finance 16(1), 2016</t>
        </is>
      </c>
      <c r="D16" s="30" t="inlineStr">
        <is>
          <t>arXiv 1406.3967</t>
        </is>
      </c>
      <c r="E16" s="29" t="inlineStr">
        <is>
          <t>18, 20</t>
        </is>
      </c>
      <c r="F16" s="30" t="inlineStr">
        <is>
          <t>How many exponentials real data supports; O(N) recursion for the likelihood.</t>
        </is>
      </c>
      <c r="G16" s="29" t="inlineStr">
        <is>
          <t>Low</t>
        </is>
      </c>
      <c r="H16" s="32" t="inlineStr">
        <is>
          <t>Not started</t>
        </is>
      </c>
    </row>
    <row r="17" ht="46.5" customHeight="1" s="27">
      <c r="A17" s="29" t="n">
        <v>16</v>
      </c>
      <c r="B17" s="31" t="inlineStr">
        <is>
          <t>Local asymptotic properties for Cox-Ingersoll-Ross process with discrete observations</t>
        </is>
      </c>
      <c r="C17" s="30" t="inlineStr">
        <is>
          <t>Ben Alaya, Kebaier, Tran, Scand. J. Stat. 47(4), 2020 (arXiv 1708.07070v5)</t>
        </is>
      </c>
      <c r="D17" s="30" t="inlineStr">
        <is>
          <t>arXiv 1708.07070</t>
        </is>
      </c>
      <c r="E17" s="29" t="inlineStr">
        <is>
          <t>11</t>
        </is>
      </c>
      <c r="F17" s="30" t="inlineStr">
        <is>
          <t>Tools for transferring CIR estimation theory to the Hawkes setting.</t>
        </is>
      </c>
      <c r="G17" s="29" t="inlineStr">
        <is>
          <t>Low</t>
        </is>
      </c>
      <c r="H17" s="32" t="inlineStr">
        <is>
          <t>Reading: intro, Thm 2.1, Cor 2.3 read 25 Oct 2026; proofs NOT read. Fixed sub/critical/supercritical regimes only; no local-to-critical (b=c/T) case. Thm 2.1 information matrix and Cor 2.3(i) critical coefficient match my K=1 Hawkes Fisher matrix and cold-start coefficient as eps-&gt;0 (lit_check_cir_fisher.py).</t>
        </is>
      </c>
    </row>
    <row r="18" ht="33" customHeight="1" s="27">
      <c r="A18" s="29" t="n">
        <v>17</v>
      </c>
      <c r="B18" s="31" t="inlineStr">
        <is>
          <t>Apparent criticality and calibration issues in the Hawkes self-excited point process model</t>
        </is>
      </c>
      <c r="C18" s="30" t="inlineStr">
        <is>
          <t>Filimonov and Sornette, arXiv</t>
        </is>
      </c>
      <c r="D18" s="30" t="inlineStr">
        <is>
          <t>arXiv 1308.6756</t>
        </is>
      </c>
      <c r="E18" s="29" t="inlineStr">
        <is>
          <t>20</t>
        </is>
      </c>
      <c r="F18" s="30" t="inlineStr">
        <is>
          <t>Regime shifts produce spurious n ≈ 1; relevant to real-data interpretation.</t>
        </is>
      </c>
      <c r="G18" s="29" t="inlineStr">
        <is>
          <t>Low</t>
        </is>
      </c>
      <c r="H18" s="32" t="inlineStr">
        <is>
          <t>Not started</t>
        </is>
      </c>
    </row>
    <row r="19" ht="33" customHeight="1" s="27">
      <c r="A19" s="29" t="n">
        <v>18</v>
      </c>
      <c r="B19" s="31" t="inlineStr">
        <is>
          <t>Sequential Change-Point Detection for Mutually Exciting Point Processes</t>
        </is>
      </c>
      <c r="C19" s="30" t="inlineStr">
        <is>
          <t>arXiv</t>
        </is>
      </c>
      <c r="D19" s="30" t="inlineStr">
        <is>
          <t>arXiv 2102.05724</t>
        </is>
      </c>
      <c r="E19" s="29" t="inlineStr">
        <is>
          <t>14</t>
        </is>
      </c>
      <c r="F19" s="30" t="inlineStr">
        <is>
          <t>CUSUM-type detection; pre-change parameters from batch MLE.</t>
        </is>
      </c>
      <c r="G19" s="29" t="inlineStr">
        <is>
          <t>Low</t>
        </is>
      </c>
      <c r="H19" s="32" t="inlineStr">
        <is>
          <t>Not started</t>
        </is>
      </c>
    </row>
    <row r="20" ht="33" customHeight="1" s="27">
      <c r="A20" s="29" t="inlineStr">
        <is>
          <t>-</t>
        </is>
      </c>
      <c r="B20" s="31" t="inlineStr">
        <is>
          <t>Zhang et al. 2023 online estimator; Wang et al. 2023 sequential estimator</t>
        </is>
      </c>
      <c r="C20" s="30" t="inlineStr">
        <is>
          <t>To check</t>
        </is>
      </c>
      <c r="D20" s="30" t="inlineStr">
        <is>
          <t>Search needed</t>
        </is>
      </c>
      <c r="E20" s="29" t="inlineStr">
        <is>
          <t>23</t>
        </is>
      </c>
      <c r="F20" s="30" t="inlineStr">
        <is>
          <t>Not verified. Could anticipate parts of the proposal.</t>
        </is>
      </c>
      <c r="G20" s="29" t="inlineStr">
        <is>
          <t>Unknown</t>
        </is>
      </c>
      <c r="H20" s="32" t="inlineStr">
        <is>
          <t>Not started</t>
        </is>
      </c>
    </row>
    <row r="21" ht="33" customHeight="1" s="27">
      <c r="A21" s="29" t="inlineStr">
        <is>
          <t>-</t>
        </is>
      </c>
      <c r="B21" s="31" t="inlineStr">
        <is>
          <t>Online EM for Hawkes (Lemonnier and Vayatis; Zhou, Zha, Song)</t>
        </is>
      </c>
      <c r="C21" s="30" t="inlineStr">
        <is>
          <t>To check</t>
        </is>
      </c>
      <c r="D21" s="30" t="inlineStr">
        <is>
          <t>Search needed</t>
        </is>
      </c>
      <c r="E21" s="29" t="inlineStr">
        <is>
          <t>23</t>
        </is>
      </c>
      <c r="F21" s="30" t="inlineStr">
        <is>
          <t>Not verified.</t>
        </is>
      </c>
      <c r="G21" s="29" t="inlineStr">
        <is>
          <t>Unknown</t>
        </is>
      </c>
      <c r="H21" s="32" t="inlineStr">
        <is>
          <t>Not started</t>
        </is>
      </c>
    </row>
    <row r="22" ht="33" customHeight="1" s="27">
      <c r="A22" s="29" t="inlineStr">
        <is>
          <t>-</t>
        </is>
      </c>
      <c r="B22" s="31" t="inlineStr">
        <is>
          <t>Bacry, Muzy, Delattre, Hoffmann; Cartea, Cohen, Labyad (arXiv 2111.10637)</t>
        </is>
      </c>
      <c r="C22" s="30" t="inlineStr">
        <is>
          <t>To check</t>
        </is>
      </c>
      <c r="D22" s="30" t="inlineStr">
        <is>
          <t>Search needed</t>
        </is>
      </c>
      <c r="E22" s="29" t="inlineStr">
        <is>
          <t>23</t>
        </is>
      </c>
      <c r="F22" s="30" t="inlineStr">
        <is>
          <t>Not verified; SGD for Hawkes least-squares contrast.</t>
        </is>
      </c>
      <c r="G22" s="29" t="inlineStr">
        <is>
          <t>Unknown</t>
        </is>
      </c>
      <c r="H22" s="32" t="inlineStr">
        <is>
          <t>Not started</t>
        </is>
      </c>
    </row>
    <row r="23" ht="33" customHeight="1" s="27">
      <c r="A23" s="29" t="inlineStr">
        <is>
          <t>-</t>
        </is>
      </c>
      <c r="B23" s="31" t="inlineStr">
        <is>
          <t>Citation trees of Yang et al. (2017) and Hall–Willett (2016)</t>
        </is>
      </c>
      <c r="C23" s="30" t="inlineStr">
        <is>
          <t>To check</t>
        </is>
      </c>
      <c r="D23" s="30" t="inlineStr">
        <is>
          <t>Google Scholar</t>
        </is>
      </c>
      <c r="E23" s="29" t="inlineStr">
        <is>
          <t>23</t>
        </is>
      </c>
      <c r="F23" s="30" t="inlineStr">
        <is>
          <t>Look for exponential-dictionary online estimation papers.</t>
        </is>
      </c>
      <c r="G23" s="29" t="inlineStr">
        <is>
          <t>Unknown</t>
        </is>
      </c>
      <c r="H23" s="32" t="inlineStr">
        <is>
          <t>Not started</t>
        </is>
      </c>
    </row>
    <row r="24" ht="75" customHeight="1" s="27">
      <c r="A24" s="29" t="n">
        <v>19</v>
      </c>
      <c r="B24" s="31" t="inlineStr">
        <is>
          <t>Two methods of estimation of the drift parameters of the Cox-Ingersoll-Ross process: continuous observations</t>
        </is>
      </c>
      <c r="C24" s="30" t="inlineStr">
        <is>
          <t>Dehtiar, Mishura, Ralchenko, arXiv, May 2020</t>
        </is>
      </c>
      <c r="D24" s="30" t="inlineStr">
        <is>
          <t>arXiv 2005.05262</t>
        </is>
      </c>
      <c r="E24" s="29" t="inlineStr">
        <is>
          <t>10, 11</t>
        </is>
      </c>
      <c r="F24" s="30" t="inlineStr">
        <is>
          <t>MLE of (a,b) defined only for 2a &gt; sigma^2; stationary Gamma law of shape 2a/sigma^2; MLE formula uses int dr/r and int dt/r (denominator int r * int 1/r - T^2 mirrors det I_T).</t>
        </is>
      </c>
      <c r="G24" s="29" t="inlineStr">
        <is>
          <t>Medium</t>
        </is>
      </c>
      <c r="H24" s="32" t="inlineStr">
        <is>
          <t>Reading: abstract, Prop 1 and Section 3 read 25 Oct 2026; proofs and the alternative estimator not read.</t>
        </is>
      </c>
    </row>
    <row r="25" ht="75" customHeight="1" s="27">
      <c r="A25" s="29" t="n">
        <v>20</v>
      </c>
      <c r="B25" s="31" t="inlineStr">
        <is>
          <t>Near-Unit-Root Theory for Affine Processes</t>
        </is>
      </c>
      <c r="C25" s="30" t="inlineStr">
        <is>
          <t>Anne, Lu, Yu, Zhou, arXiv, 27 May 2026</t>
        </is>
      </c>
      <c r="D25" s="30" t="inlineStr">
        <is>
          <t>arXiv 2605.27859</t>
        </is>
      </c>
      <c r="E25" s="29" t="inlineStr">
        <is>
          <t>10, 11, 18</t>
        </is>
      </c>
      <c r="F25" s="30" t="inlineStr">
        <is>
          <t>CIR limit of local-to-unity discrete-time affine processes with a Feller remark (2mu &gt;= sigma^2); OLS intercept inconsistent in the local-to-unity regime. No Hawkes (0 hits), OLS only, no likelihood information or lower bound.</t>
        </is>
      </c>
      <c r="G25" s="29" t="inlineStr">
        <is>
          <t>Medium</t>
        </is>
      </c>
      <c r="H25" s="32" t="inlineStr">
        <is>
          <t>Reading: abstract, introduction, Thm 1 discussion and parts of Thm 3-4 read 25 Oct 2026 (71 pages, mostly unread).</t>
        </is>
      </c>
    </row>
    <row r="26" ht="75" customHeight="1" s="27">
      <c r="A26" s="29" t="n">
        <v>21</v>
      </c>
      <c r="B26" s="31" t="inlineStr">
        <is>
          <t>Asymptotics of nearly critical Galton-Watson processes with immigration</t>
        </is>
      </c>
      <c r="C26" s="30" t="inlineStr">
        <is>
          <t>Kevei, Acta Sci. Math. (Szeged) 77 (2011) 681-702</t>
        </is>
      </c>
      <c r="D26" s="30" t="inlineStr">
        <is>
          <t>arXiv 1107.2440</t>
        </is>
      </c>
      <c r="E26" s="29" t="inlineStr">
        <is>
          <t>11</t>
        </is>
      </c>
      <c r="F26" s="30" t="inlineStr">
        <is>
          <t>Limit laws: Poisson/compound Poisson when offspring second factorial moment / (1-rho_n) -&gt; 0, negative binomial (discrete Gamma) when it is of the same order. Distribution only, no estimation.</t>
        </is>
      </c>
      <c r="G26" s="29" t="inlineStr">
        <is>
          <t>Low</t>
        </is>
      </c>
      <c r="H26" s="32" t="inlineStr">
        <is>
          <t>Reading: abstract, introduction, Sections 2.1-2.2 discussion read 25 Oct 2026; proofs not read.</t>
        </is>
      </c>
    </row>
    <row r="27" ht="75" customHeight="1" s="27">
      <c r="A27" s="29" t="n">
        <v>22</v>
      </c>
      <c r="B27" s="31" t="inlineStr">
        <is>
          <t>A fluctuation limit theorem of branching processes with immigration and statistical applications</t>
        </is>
      </c>
      <c r="C27" s="30" t="inlineStr">
        <is>
          <t>Ma, arXiv, 2009</t>
        </is>
      </c>
      <c r="D27" s="30" t="inlineStr">
        <is>
          <t>arXiv 0906.2586</t>
        </is>
      </c>
      <c r="E27" s="29" t="inlineStr">
        <is>
          <t>11</t>
        </is>
      </c>
      <c r="F27" s="30" t="inlineStr">
        <is>
          <t>Survey of the CLSE literature for nearly critical GWI (Sriram 1994: branching-diffusion limit for positive variance; Ispany et al. 2005: n^{3/2} normal for vanishing variance); Thm 3.2: CLSE of (m_n, omega_n).</t>
        </is>
      </c>
      <c r="G27" s="29" t="inlineStr">
        <is>
          <t>Low</t>
        </is>
      </c>
      <c r="H27" s="32" t="inlineStr">
        <is>
          <t>Reading: abstract, introduction, Thm 3.2 read 25 Oct 2026; proofs not read.</t>
        </is>
      </c>
    </row>
    <row r="28" ht="75" customHeight="1" s="27">
      <c r="A28" s="29" t="n">
        <v>23</v>
      </c>
      <c r="B28" s="31" t="inlineStr">
        <is>
          <t>Discrete CLSE papers (abstracts only): Wei-Winnicki 1990; Ispany-Pap-van Zuijlen 2005; Li 2011</t>
        </is>
      </c>
      <c r="C28" s="30" t="inlineStr">
        <is>
          <t>Ann. Statist. 18 (1990); Adv. Appl. Probab. 37 (2005); Commun. Statist. Theory Methods (2011)</t>
        </is>
      </c>
      <c r="D28" s="30" t="inlineStr">
        <is>
          <t>DOI 10.1214/aos/1176347876; 10.1017/s000186780000029x; 10.1080/03610926.2010.500109</t>
        </is>
      </c>
      <c r="E28" s="29" t="inlineStr">
        <is>
          <t>11</t>
        </is>
      </c>
      <c r="F28" s="30" t="inlineStr">
        <is>
          <t>Li 2011: with non-zero initial values the CLSE of the immigration mean is not consistent (nearly critical Jirina). Wei-Winnicki abstract states only the aim; Herrera-Marin I attributes to them inconsistency of an immigration-mean estimator in the critical case: UNVERIFIED and in conflict with another summary.</t>
        </is>
      </c>
      <c r="G28" s="29" t="inlineStr">
        <is>
          <t>Low</t>
        </is>
      </c>
      <c r="H28" s="32" t="inlineStr">
        <is>
          <t>Reading: abstracts only (OpenAlex), 25 Oct 2026. Full texts not obtained.</t>
        </is>
      </c>
    </row>
    <row r="29" ht="75" customHeight="1" s="27">
      <c r="A29" s="29" t="n">
        <v>24</v>
      </c>
      <c r="B29" s="31" t="inlineStr">
        <is>
          <t>Regret / redundancy lower bounds: Rissanen 1984 (IEEE IT 30), Rissanen 1986 (Ann. Statist. 14), Merhav-Feder 1998 (IEEE IT 44)</t>
        </is>
      </c>
      <c r="C29" s="30" t="inlineStr">
        <is>
          <t>Rissanen; Merhav and Feder</t>
        </is>
      </c>
      <c r="D29" s="30" t="inlineStr">
        <is>
          <t>DOI 10.1109/TIT.1984.1056936; 10.1214/aos/1176350051; 10.1109/18.720534</t>
        </is>
      </c>
      <c r="E29" s="29" t="inlineStr">
        <is>
          <t>9, 5, 6</t>
        </is>
      </c>
      <c r="F29" s="30" t="inlineStr">
        <is>
          <t>Classical (d/2) log n-type lower bounds are for fixed parameters; no Hawkes- or point-process-specific minimax regret lower bound found; none for a triangular array with eps -&gt; 0.</t>
        </is>
      </c>
      <c r="G29" s="29" t="inlineStr">
        <is>
          <t>Unknown</t>
        </is>
      </c>
      <c r="H29" s="32" t="inlineStr">
        <is>
          <t>Reading: abstracts only; Merhav-Feder PDF host failed TLS verification (not bypassed). Hypotheses of the Rissanen theorems not checked.</t>
        </is>
      </c>
    </row>
    <row r="31" ht="30" customHeight="1" s="27">
      <c r="B31" s="42" t="inlineStr">
        <is>
          <t>Details come from my research summary of 24 Oct 2026. Re-check every claim against the primary source before citing. Herrera-Marín papers are unrefereed arXiv preprints. Overlap risk is my judgement. Updated 25 Oct 2026: rows 7 and 17 corrected, rows 24-29 added from literature_search_report.md; most new entries were read only in part (see Read status).</t>
        </is>
      </c>
    </row>
  </sheetData>
  <mergeCells count="1">
    <mergeCell ref="B31:F31"/>
  </mergeCells>
  <conditionalFormatting sqref="G2:G29">
    <cfRule type="cellIs" rank="0" priority="2" equalAverage="0" operator="equal" aboveAverage="0" dxfId="8" text="" percent="0" bottom="0">
      <formula>"High"</formula>
    </cfRule>
  </conditionalFormatting>
  <dataValidations count="2">
    <dataValidation sqref="H2:H29" showDropDown="0" showInputMessage="0" showErrorMessage="0" allowBlank="0" type="list" errorStyle="stop" operator="between">
      <formula1>"Not started,Reading,Done"</formula1>
      <formula2>0</formula2>
    </dataValidation>
    <dataValidation sqref="G2:G29" showDropDown="0" showInputMessage="0" showErrorMessage="0" allowBlank="0" type="list" errorStyle="stop" operator="between">
      <formula1>"High,Medium,Low,Unknown"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B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26" min="1" max="1"/>
    <col width="110" customWidth="1" style="26" min="2" max="2"/>
  </cols>
  <sheetData>
    <row r="1" ht="17.35" customHeight="1" s="27">
      <c r="A1" s="34" t="inlineStr">
        <is>
          <t>Research topic statement</t>
        </is>
      </c>
    </row>
    <row r="3" ht="33" customHeight="1" s="27">
      <c r="A3" s="50" t="inlineStr">
        <is>
          <t>Working title</t>
        </is>
      </c>
      <c r="B3" s="30" t="inlineStr">
        <is>
          <t>Online estimation of near-critical linear Hawkes processes with an exponential dictionary: regret, information limits and tracking as a function of the distance to criticality</t>
        </is>
      </c>
    </row>
    <row r="4" ht="19.5" customHeight="1" s="27">
      <c r="A4" s="50" t="inlineStr">
        <is>
          <t>Model</t>
        </is>
      </c>
      <c r="B4" s="30" t="inlineStr">
        <is>
          <t>λ_t(θ) = μ + Σ_k α_k S_k(t),   dS_k = −β_k S_k dt + dN_t,   n(θ) = Σ_k α_k/β_k,   with a fixed grid β_1 &lt; … &lt; β_K.</t>
        </is>
      </c>
    </row>
    <row r="5" ht="46.5" customHeight="1" s="27">
      <c r="A5" s="50" t="inlineStr">
        <is>
          <t>Problem</t>
        </is>
      </c>
      <c r="B5" s="30" t="inlineStr">
        <is>
          <t>Events arrive as a stream. The state (S_1, …, S_K) is exact and has O(K) size, with no truncation window. The goal is an estimator θ̂_i, updated per event, that is statistically sound even when the true branching ratio n is close to 1, which is where real financial order-flow fits land.</t>
        </is>
      </c>
    </row>
    <row r="6" ht="46.5" customHeight="1" s="27">
      <c r="A6" s="50" t="inlineStr">
        <is>
          <t>Gap</t>
        </is>
      </c>
      <c r="B6" s="30" t="inlineStr">
        <is>
          <t>Online Hawkes estimators exist (Hall–Willett, Yang et al., Solo), but their guarantees hide the dependence on ε = 1 − n inside constants. They are discretized or truncated, and none comes with a lower bound. Near-critical information limits are known for heavy-tailed kernels, but the light-tailed exponential case is open as a theorem.</t>
        </is>
      </c>
    </row>
    <row r="7" ht="33" customHeight="1" s="27">
      <c r="A7" s="50" t="inlineStr">
        <is>
          <t>One-sentence version</t>
        </is>
      </c>
      <c r="B7" s="30" t="inlineStr">
        <is>
          <t>We give the first estimator-level theory, with matching upper and lower bounds, for streaming estimation of light-tailed Hawkes processes as the branching ratio approaches 1.</t>
        </is>
      </c>
    </row>
    <row r="9" ht="15" customHeight="1" s="27">
      <c r="A9" s="36" t="inlineStr">
        <is>
          <t>Proposed contributions</t>
        </is>
      </c>
    </row>
    <row r="10" ht="46.5" customHeight="1" s="27">
      <c r="A10" s="50" t="inlineStr">
        <is>
          <t>C1: Curvature and algorithm</t>
        </is>
      </c>
      <c r="B10" s="30" t="inlineStr">
        <is>
          <t>Show that the per-event loss is convex in (μ, α) but not exp-concave, because its Hessian has rank one. Replace the adversarial ONS claim with a stochastic analysis, using Fisher-preconditioned online Newton or recursive MLE on Θ_ε with martingale concentration.</t>
        </is>
      </c>
    </row>
    <row r="11" ht="19.5" customHeight="1" s="27">
      <c r="A11" s="50" t="inlineStr">
        <is>
          <t>C2: ε-explicit upper bound</t>
        </is>
      </c>
      <c r="B11" s="30" t="inlineStr">
        <is>
          <t>Prove regret or estimation error of the form (d/2) log T + C log(1/ε) + burn-in(με), with d = K + 1.</t>
        </is>
      </c>
    </row>
    <row r="12" ht="19.5" customHeight="1" s="27">
      <c r="A12" s="50" t="inlineStr">
        <is>
          <t>C3: Matching lower bound</t>
        </is>
      </c>
      <c r="B12" s="30" t="inlineStr">
        <is>
          <t>A two-point argument based on KL ≲ δ² T μ (1−n), showing which directions are unlearnable when T μ (1−n) = O(1).</t>
        </is>
      </c>
    </row>
    <row r="13" ht="33" customHeight="1" s="27">
      <c r="A13" s="50" t="inlineStr">
        <is>
          <t>C4: Light-tailed information dichotomy</t>
        </is>
      </c>
      <c r="B13" s="30" t="inlineStr">
        <is>
          <t>Establish when baseline information diverges or stays bounded in the nearly unstable exponential regime (1−n_T ≍ T⁻¹), via the CIR scaling limit.</t>
        </is>
      </c>
    </row>
    <row r="14" ht="19.5" customHeight="1" s="27">
      <c r="A14" s="50" t="inlineStr">
        <is>
          <t>C5: Tracking under drift</t>
        </is>
      </c>
      <c r="B14" s="30" t="inlineStr">
        <is>
          <t>A bound of the form E‖θ̂_t − θ*_t‖² ≲ η σ²(ε) + Δ²/η² for constant step size η and drift rate Δ.</t>
        </is>
      </c>
    </row>
    <row r="15" ht="19.5" customHeight="1" s="27">
      <c r="A15" s="50" t="inlineStr">
        <is>
          <t>C6: Misspecification (corollary)</t>
        </is>
      </c>
      <c r="B15" s="30" t="inlineStr">
        <is>
          <t>Convergence to the KL pseudo-true parameter θ† when the true kernel is a power law, and the bias of n(θ†) as K grows.</t>
        </is>
      </c>
    </row>
    <row r="17" ht="30" customHeight="1" s="27">
      <c r="A17" s="42" t="inlineStr">
        <is>
          <t>Everything described as 'prove' is a target, not a result. C1 and C2 depend on a curvature argument that you should re-derive yourself; C4 depends on a conjecture that has not been verified.</t>
        </is>
      </c>
    </row>
  </sheetData>
  <mergeCells count="1">
    <mergeCell ref="A17:B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B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26" min="1" max="1"/>
    <col width="100" customWidth="1" style="26" min="2" max="2"/>
  </cols>
  <sheetData>
    <row r="1" ht="17.35" customHeight="1" s="27">
      <c r="A1" s="34" t="inlineStr">
        <is>
          <t>How to use this workbook</t>
        </is>
      </c>
    </row>
    <row r="3" ht="33" customHeight="1" s="27">
      <c r="A3" s="51" t="inlineStr">
        <is>
          <t>Blue text</t>
        </is>
      </c>
      <c r="B3" s="30" t="inlineStr">
        <is>
          <t>Cells you are meant to edit: Priority, Difficulty, Est. weeks, Status, Notes on the Problems sheet; Read status on the Literature sheet; the ID column in the Roadmap working order.</t>
        </is>
      </c>
    </row>
    <row r="4" ht="19.5" customHeight="1" s="27">
      <c r="A4" s="31" t="inlineStr">
        <is>
          <t>Black text</t>
        </is>
      </c>
      <c r="B4" s="30" t="inlineStr">
        <is>
          <t>Fixed content (problem descriptions, criteria for being done).</t>
        </is>
      </c>
    </row>
    <row r="5" ht="19.5" customHeight="1" s="27">
      <c r="A5" s="52" t="inlineStr">
        <is>
          <t>Green text</t>
        </is>
      </c>
      <c r="B5" s="30" t="inlineStr">
        <is>
          <t>Formulas that read from another sheet (Summary and Roadmap).</t>
        </is>
      </c>
    </row>
    <row r="6" ht="19.5" customHeight="1" s="27">
      <c r="A6" s="31" t="inlineStr">
        <is>
          <t>Status</t>
        </is>
      </c>
      <c r="B6" s="30" t="inlineStr">
        <is>
          <t>Not started, In progress, Blocked, Done. Pick from the dropdown; Summary and Roadmap update automatically.</t>
        </is>
      </c>
    </row>
    <row r="7" ht="33" customHeight="1" s="27">
      <c r="A7" s="31" t="inlineStr">
        <is>
          <t>Est. weeks</t>
        </is>
      </c>
      <c r="B7" s="30" t="inlineStr">
        <is>
          <t>My rough guess for one researcher working on that item alone. It is an assumption, not data. Overwrite with your own numbers.</t>
        </is>
      </c>
    </row>
    <row r="8" ht="19.5" customHeight="1" s="27">
      <c r="A8" s="31" t="inlineStr">
        <is>
          <t>Difficulty</t>
        </is>
      </c>
      <c r="B8" s="30" t="inlineStr">
        <is>
          <t>1 (routine) to 5 (open research problem). My judgement.</t>
        </is>
      </c>
    </row>
    <row r="9" ht="33" customHeight="1" s="27">
      <c r="A9" s="31" t="inlineStr">
        <is>
          <t>Priority</t>
        </is>
      </c>
      <c r="B9" s="30" t="inlineStr">
        <is>
          <t>Critical = decides whether the paper exists; High = needed for the main theorems; Medium = needed for completeness; Low = optional or second paper.</t>
        </is>
      </c>
    </row>
    <row r="10" ht="19.5" customHeight="1" s="27">
      <c r="A10" s="31" t="inlineStr">
        <is>
          <t>Contribution</t>
        </is>
      </c>
      <c r="B10" s="30" t="inlineStr">
        <is>
          <t>C1 to C6 refer to the contributions listed on the Topic sheet.</t>
        </is>
      </c>
    </row>
    <row r="11" ht="19.5" customHeight="1" s="27">
      <c r="A11" s="31" t="inlineStr">
        <is>
          <t>Depends on</t>
        </is>
      </c>
      <c r="B11" s="30" t="inlineStr">
        <is>
          <t>Problem IDs that should be finished, or at least understood, before this one.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2026-10-24T12:50:24Z</dcterms:created>
  <dcterms:modified xsi:type="dcterms:W3CDTF">2026-10-25T10:42:38Z</dcterms:modified>
  <cp:revision>0</cp:revision>
</cp:coreProperties>
</file>