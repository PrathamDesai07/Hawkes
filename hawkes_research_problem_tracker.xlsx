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roblems" sheetId="1" state="visible" r:id="rId1"/>
    <sheet name="Summary" sheetId="2" state="visible" r:id="rId2"/>
    <sheet name="Roadmap" sheetId="3" state="visible" r:id="rId3"/>
    <sheet name="Literature" sheetId="4" state="visible" r:id="rId4"/>
    <sheet name="Topic" sheetId="5" state="visible" r:id="rId5"/>
    <sheet name="Legend" sheetId="6" state="visible" r:id="rId6"/>
  </sheets>
  <definedNames>
    <definedName name="_xlnm._FilterDatabase" localSheetId="0" hidden="1">'Problems'!$A$1:$M$24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sz val="10"/>
    </font>
    <font>
      <name val="Arial"/>
      <charset val="1"/>
      <family val="0"/>
      <color rgb="FF0000FF"/>
      <sz val="10"/>
    </font>
    <font>
      <name val="Arial"/>
      <charset val="1"/>
      <family val="0"/>
      <b val="1"/>
      <sz val="14"/>
    </font>
    <font>
      <name val="Arial"/>
      <charset val="1"/>
      <family val="0"/>
      <color rgb="FF008000"/>
      <sz val="10"/>
    </font>
    <font>
      <name val="Arial"/>
      <charset val="1"/>
      <family val="0"/>
      <i val="1"/>
      <sz val="9"/>
    </font>
    <font>
      <name val="Arial"/>
      <charset val="1"/>
      <family val="0"/>
      <b val="1"/>
      <color rgb="FF0000FF"/>
      <sz val="10"/>
    </font>
    <font>
      <name val="Arial"/>
      <charset val="1"/>
      <family val="0"/>
      <b val="1"/>
      <color rgb="FF008000"/>
      <sz val="10"/>
    </font>
  </fonts>
  <fills count="4">
    <fill>
      <patternFill/>
    </fill>
    <fill>
      <patternFill patternType="gray125"/>
    </fill>
    <fill>
      <patternFill patternType="solid">
        <fgColor rgb="FF1F3864"/>
        <bgColor rgb="FF333333"/>
      </patternFill>
    </fill>
    <fill>
      <patternFill patternType="solid">
        <fgColor rgb="FFD9E2F3"/>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2"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 fontId="9" fillId="0" borderId="1" applyAlignment="1" pivotButton="0" quotePrefix="0" xfId="0">
      <alignment horizontal="general" vertical="top" wrapText="1"/>
    </xf>
    <xf numFmtId="164" fontId="9" fillId="0" borderId="1" applyAlignment="1" pivotButton="0" quotePrefix="0" xfId="0">
      <alignment horizontal="general" vertical="top" wrapText="1"/>
    </xf>
    <xf numFmtId="165" fontId="9" fillId="0" borderId="1" applyAlignment="1" pivotButton="0" quotePrefix="0" xfId="0">
      <alignment horizontal="general" vertical="top" wrapText="1"/>
    </xf>
    <xf numFmtId="1" fontId="6"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10" fillId="0" borderId="0" applyAlignment="1" pivotButton="0" quotePrefix="0" xfId="0">
      <alignment horizontal="general" vertical="top" wrapText="1"/>
    </xf>
    <xf numFmtId="1" fontId="9" fillId="0" borderId="1" applyAlignment="1" pivotButton="0" quotePrefix="0" xfId="0">
      <alignment horizontal="center" vertical="top"/>
    </xf>
    <xf numFmtId="164" fontId="9" fillId="0" borderId="1" applyAlignment="1" pivotButton="0" quotePrefix="0" xfId="0">
      <alignment horizontal="center" vertical="top"/>
    </xf>
    <xf numFmtId="1" fontId="6" fillId="0" borderId="1" applyAlignment="1" pivotButton="0" quotePrefix="0" xfId="0">
      <alignment horizontal="center" vertical="bottom"/>
    </xf>
    <xf numFmtId="164" fontId="6" fillId="0"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6" fillId="3"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 fontId="9" fillId="0" borderId="1" applyAlignment="1" pivotButton="0" quotePrefix="0" xfId="0">
      <alignment horizontal="general" vertical="top" wrapText="1"/>
    </xf>
    <xf numFmtId="164" fontId="9" fillId="0" borderId="1" applyAlignment="1" pivotButton="0" quotePrefix="0" xfId="0">
      <alignment horizontal="general" vertical="top" wrapText="1"/>
    </xf>
    <xf numFmtId="165" fontId="9" fillId="0" borderId="1" applyAlignment="1" pivotButton="0" quotePrefix="0" xfId="0">
      <alignment horizontal="general" vertical="top" wrapText="1"/>
    </xf>
    <xf numFmtId="1" fontId="6"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10" fillId="0" borderId="0" applyAlignment="1" pivotButton="0" quotePrefix="0" xfId="0">
      <alignment horizontal="general" vertical="top" wrapText="1"/>
    </xf>
    <xf numFmtId="1" fontId="9" fillId="0" borderId="1" applyAlignment="1" pivotButton="0" quotePrefix="0" xfId="0">
      <alignment horizontal="center" vertical="top"/>
    </xf>
    <xf numFmtId="164" fontId="9" fillId="0" borderId="1" applyAlignment="1" pivotButton="0" quotePrefix="0" xfId="0">
      <alignment horizontal="center" vertical="top"/>
    </xf>
    <xf numFmtId="1" fontId="6" fillId="0" borderId="1" applyAlignment="1" pivotButton="0" quotePrefix="0" xfId="0">
      <alignment horizontal="center" vertical="bottom"/>
    </xf>
    <xf numFmtId="164" fontId="6" fillId="0"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6" fillId="3"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0"/>
  </sheetPr>
  <dimension ref="A1:M2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6" min="1" max="1"/>
    <col width="20" customWidth="1" style="26" min="2" max="2"/>
    <col width="28" customWidth="1" style="26" min="3" max="3"/>
    <col width="62" customWidth="1" style="26" min="4" max="4"/>
    <col width="44" customWidth="1" style="26" min="5" max="5"/>
    <col width="12" customWidth="1" style="26" min="6" max="6"/>
    <col width="22" customWidth="1" style="26" min="7" max="7"/>
    <col width="10" customWidth="1" style="26" min="8" max="8"/>
    <col width="11" customWidth="1" style="26" min="9" max="9"/>
    <col width="9" customWidth="1" style="26" min="10" max="10"/>
    <col width="13" customWidth="1" style="26" min="11" max="12"/>
    <col width="28" customWidth="1" style="26" min="13" max="13"/>
  </cols>
  <sheetData>
    <row r="1" ht="31.5" customHeight="1" s="27">
      <c r="A1" s="28" t="inlineStr">
        <is>
          <t>ID</t>
        </is>
      </c>
      <c r="B1" s="28" t="inlineStr">
        <is>
          <t>Section</t>
        </is>
      </c>
      <c r="C1" s="28" t="inlineStr">
        <is>
          <t>Problem</t>
        </is>
      </c>
      <c r="D1" s="28" t="inlineStr">
        <is>
          <t>What to do</t>
        </is>
      </c>
      <c r="E1" s="28" t="inlineStr">
        <is>
          <t>Done when</t>
        </is>
      </c>
      <c r="F1" s="28" t="inlineStr">
        <is>
          <t>Contribution</t>
        </is>
      </c>
      <c r="G1" s="28" t="inlineStr">
        <is>
          <t>Phase</t>
        </is>
      </c>
      <c r="H1" s="28" t="inlineStr">
        <is>
          <t>Priority</t>
        </is>
      </c>
      <c r="I1" s="28" t="inlineStr">
        <is>
          <t>Difficulty (1-5)</t>
        </is>
      </c>
      <c r="J1" s="28" t="inlineStr">
        <is>
          <t>Est. weeks</t>
        </is>
      </c>
      <c r="K1" s="28" t="inlineStr">
        <is>
          <t>Depends on (IDs)</t>
        </is>
      </c>
      <c r="L1" s="28" t="inlineStr">
        <is>
          <t>Status</t>
        </is>
      </c>
      <c r="M1" s="28" t="inlineStr">
        <is>
          <t>Notes</t>
        </is>
      </c>
    </row>
    <row r="2" ht="73.5" customHeight="1" s="27">
      <c r="A2" s="29" t="n">
        <v>1</v>
      </c>
      <c r="B2" s="30" t="inlineStr">
        <is>
          <t>A. Foundations</t>
        </is>
      </c>
      <c r="C2" s="31" t="inlineStr">
        <is>
          <t>Verify the curvature claim</t>
        </is>
      </c>
      <c r="D2" s="30" t="inlineStr">
        <is>
          <t>Re-derive that the per-event loss l_i(θ) = −log(a_iᵀθ) + b_iᵀθ has a rank-one Hessian and is not exp-concave when b_i is not parallel to a_i. Then find the correct curvature statement: look at the expected loss, whose Hessian is the Fisher information per unit time, and bound its smallest eigenvalue on Θ_ε = {μ ≥ μ_min, α ≥ 0, n ≤ 1−ε}.</t>
        </is>
      </c>
      <c r="E2" s="30" t="inlineStr">
        <is>
          <t>A short written lemma with the counterexample, plus the corrected curvature statement and a bound on the smallest eigenvalue.</t>
        </is>
      </c>
      <c r="F2" s="29" t="inlineStr">
        <is>
          <t>C1</t>
        </is>
      </c>
      <c r="G2" s="30" t="inlineStr">
        <is>
          <t>P1 Core feasibility</t>
        </is>
      </c>
      <c r="H2" s="32" t="inlineStr">
        <is>
          <t>Critical</t>
        </is>
      </c>
      <c r="I2" s="32" t="n">
        <v>3</v>
      </c>
      <c r="J2" s="32" t="n">
        <v>1</v>
      </c>
      <c r="K2" s="29" t="n"/>
      <c r="L2" s="32" t="inlineStr">
        <is>
          <t>Done</t>
        </is>
      </c>
      <c r="M2" s="33" t="inlineStr">
        <is>
          <t>Draft done 2026-10-24. Hessian a a^T/lam^2 is rank one; exp-concavity fails whenever b not parallel to a (counterexample checked numerically). Corrected statement: expected-loss Hessian &gt;= c(theta)^-2 I(theta*), and lam_min(I) &gt;= (eps/mu)*inf_v(E|v^T a|)^2 by Cauchy-Schwarz; K=1 exact check gives lam_min ~ eps/mu. Needs your own re-derivation. Open: alpha*_k=0 case, stationarity/burn-in. See problem01_curvature_lemma.md</t>
        </is>
      </c>
    </row>
    <row r="3" ht="60" customHeight="1" s="27">
      <c r="A3" s="29" t="n">
        <v>2</v>
      </c>
      <c r="B3" s="30" t="inlineStr">
        <is>
          <t>A. Foundations</t>
        </is>
      </c>
      <c r="C3" s="31" t="inlineStr">
        <is>
          <t>Identifiability of the dictionary</t>
        </is>
      </c>
      <c r="D3" s="30" t="inlineStr">
        <is>
          <t>On a fixed β-grid, decide whether the weights α are identifiable, i.e. whether the Fisher information I(θ) is nonsingular. Nearby β_k make the exponentials almost collinear, so the condition number grows with K and with grid density. Quantify it.</t>
        </is>
      </c>
      <c r="E3" s="30" t="inlineStr">
        <is>
          <t>An explicit lower bound on λ_min(I(θ)), or on the condition number, in terms of K and the grid ratio.</t>
        </is>
      </c>
      <c r="F3" s="29" t="inlineStr">
        <is>
          <t>C1</t>
        </is>
      </c>
      <c r="G3" s="30" t="inlineStr">
        <is>
          <t>P2 Complete upper bound</t>
        </is>
      </c>
      <c r="H3" s="32" t="inlineStr">
        <is>
          <t>High</t>
        </is>
      </c>
      <c r="I3" s="32" t="n">
        <v>3</v>
      </c>
      <c r="J3" s="32" t="n">
        <v>1.5</v>
      </c>
      <c r="K3" s="29" t="inlineStr">
        <is>
          <t>1</t>
        </is>
      </c>
      <c r="L3" s="32" t="inlineStr">
        <is>
          <t>Done</t>
        </is>
      </c>
      <c r="M3" s="33" t="inlineStr">
        <is>
          <t>25 Oct 2026. problem02_identifiability.md; code/p2_window_bound.py, p2_lemma3_check.py, p2_gram_bound.py, p2_truncation_check.py, p2_truncation_bound.py. Fixed a thinning bug in p2_identifiability.py (had made lam_min ~10x too small for K&gt;=2). Findings (mu=1, beta=r^(k-1), MC 60-80k events): K&gt;=2 lam_min does NOT shrink with eps (K=2: ~0.045 at r=2, ~0.065 at r=4), cond ~ 1/eps (K=1: eps^-2); lam_min falls ~10x per added exponential (r=2: 0.069, 0.046, 0.0045 for K=1,2,3 at eps=0.1). Lower bounds: (1) Gram-matrix route is rigorous but useless (1e-6 to 1e-16 of truth, decays like eps^(2K+1)). (2) Theorem T (truncation + Lemma-B moments): lam_min(I) &gt;= (1/L)[lam_min(M) - sqrt(E|a|^4) sqrt(E lam^p / L^p)], M = E[a a^T] exact via a K^2 linear system (matches MC to 1-3%); bound is 2e-3 to 5e-2 of the MC lam_min for K&lt;=3 and non-vacuous; pure truncation without tail penalty would be within 2-8x. Open: closed-form formula in K and grid ratio, sharper tail bound, eps-sharpness for K&gt;=2. Depends on Lemma B (Problem 3 draft). Draft, not independently verified. CLOSED 25 Oct (Done): closed-form chain in K and grid ratio r: Cov(S) &gt;= (E lam/4) G (G=1/(b_i+b_j), spectral), exact E S_k = mu/(eps b_k), lam_min(M) &gt;= lam_min(C)/(1+2|m|^2), Cauchy inverse in closed form, then truncation with Lemma-1' moments; valid but 1e3-1e8 below truth (code/p2_closed_chain.py). Sharp scaling = three-tier structure (Problem 12), heuristic. STRENGTHENED 25 Oct (tangent_bound.md): tangent-line minorant I &gt;= (2/l0)M - (1/l0^2)M3 with exact moment systems (orders&lt;=3) gives a rigorous lower bound within 1.3-3.5x of Monte Carlo (K=1,2,3), correct eps-scaling (~0.25 eps); was 1e3-1e8 loose. COMPLEXITY 25 Oct: moments of order &lt;=3 by Kronecker-sum diagonalisation, O(K^4) time / O(K^3) memory (was O(K^9) / O(K^6)); lambda0-search by Brent (concavity in 1/lambda0), 13-26 evaluations (was 75).</t>
        </is>
      </c>
    </row>
    <row r="4" ht="60" customHeight="1" s="27">
      <c r="A4" s="29" t="n">
        <v>3</v>
      </c>
      <c r="B4" s="30" t="inlineStr">
        <is>
          <t>A. Foundations</t>
        </is>
      </c>
      <c r="C4" s="31" t="inlineStr">
        <is>
          <t>Uniform moment and ergodicity bounds as n → 1</t>
        </is>
      </c>
      <c r="D4" s="30" t="inlineStr">
        <is>
          <t>Bound E[λ^p] and the mixing rate (spectral gap) of the Markov state (S_1, …, S_K) uniformly as n → 1. Start from E[λ] = μ/(1−n) and find how the spectral gap shrinks with ε. Without this, no concentration argument closes.</t>
        </is>
      </c>
      <c r="E4" s="30" t="inlineStr">
        <is>
          <t>A lemma with explicit ε-dependence for the moment bounds and for the mixing or contraction rate.</t>
        </is>
      </c>
      <c r="F4" s="29" t="inlineStr">
        <is>
          <t>C1, C2</t>
        </is>
      </c>
      <c r="G4" s="30" t="inlineStr">
        <is>
          <t>P1 Core feasibility</t>
        </is>
      </c>
      <c r="H4" s="32" t="inlineStr">
        <is>
          <t>Critical</t>
        </is>
      </c>
      <c r="I4" s="32" t="n">
        <v>4</v>
      </c>
      <c r="J4" s="32" t="n">
        <v>3</v>
      </c>
      <c r="K4" s="29" t="n"/>
      <c r="L4" s="32" t="inlineStr">
        <is>
          <t>Done</t>
        </is>
      </c>
      <c r="M4" s="33" t="inlineStr">
        <is>
          <t>Draft done 2026-10-24. Key identity A Z = mu - eps*lam for Z=sum(alpha_k/beta_k)S_k. Moments: E Z^p &lt;= C_p eps^-p for all p (induction, constants depend on mu,beta_min,beta_max); sub-exponential tail E exp(eps Z/e) &lt;= 2exp(4mu/(e beta_min)). Contraction in weighted Wasserstein at rate &gt;= eps*beta_min (monotone coupling); slowest mean mode gamma ~ eps/sum(alpha/beta^2), so mixing ~1/(eps*beta), independent of mu. Checked against exact moments and simulation. Needs your re-derivation. Open: true L2 gap, grid-uniform constants, sup over time horizon, non-stationary start. See problem03_moments_mixing.md</t>
        </is>
      </c>
    </row>
    <row r="5" ht="46.5" customHeight="1" s="27">
      <c r="A5" s="29" t="n">
        <v>4</v>
      </c>
      <c r="B5" s="30" t="inlineStr">
        <is>
          <t>A. Foundations</t>
        </is>
      </c>
      <c r="C5" s="31" t="inlineStr">
        <is>
          <t>Projection onto Θ_ε</t>
        </is>
      </c>
      <c r="D5" s="30" t="inlineStr">
        <is>
          <t>Design a cheap projection, in the Fisher or ONS metric, onto the polytope {μ ≥ μ_min, α ≥ 0, Σ α_k/β_k ≤ 1−ε}. This is an algorithm problem rather than a theory one, but it affects the constants.</t>
        </is>
      </c>
      <c r="E5" s="30" t="inlineStr">
        <is>
          <t>An algorithm with O(K) or O(K log K) cost, a note on its effect on the regret constants, and a working implementation.</t>
        </is>
      </c>
      <c r="F5" s="29" t="inlineStr">
        <is>
          <t>C1</t>
        </is>
      </c>
      <c r="G5" s="30" t="inlineStr">
        <is>
          <t>P2 Complete upper bound</t>
        </is>
      </c>
      <c r="H5" s="32" t="inlineStr">
        <is>
          <t>Medium</t>
        </is>
      </c>
      <c r="I5" s="32" t="n">
        <v>2</v>
      </c>
      <c r="J5" s="32" t="n">
        <v>1</v>
      </c>
      <c r="K5" s="29" t="inlineStr">
        <is>
          <t>1</t>
        </is>
      </c>
      <c r="L5" s="32" t="inlineStr">
        <is>
          <t>Done</t>
        </is>
      </c>
      <c r="M5" s="33" t="inlineStr">
        <is>
          <t>24-25 Oct 2026. problem04_projection.md, code/p4_projection.py. Exact projection onto {mu&gt;=mu_min, alpha&gt;=0, sum alpha_k/beta_k&lt;=1-eps} in a DIAGONAL metric: mu separable; alpha_k = max(0, y_k - tau*w_k/d_k), tau from sorted breakpoints, O(K log K); matches SLSQP on 300 random instances (4e-6); &lt;1 ms for K up to 1e4. Regret-constant effect: non-expansive in the update's own metric, so no extra constant; the cost is cond(D^-1/2 I D^-1/2). K=1: universal ~5.83 (rho^2-&gt;1/2), independent of eps (raw ~1e6 at eps=1e-3). K&gt;=2 (corrected 25 Oct after fixing a simulator bug): scaled cond only 1.2-3x below raw and still grows as eps falls (K=2,r=2: 118-&gt;368; K=3: 765-&gt;2477), so a diagonal metric is NOT enough for K&gt;=2. Open: dense-metric projection (QP, ~O(K^2)), O(K) version, K&gt;=2 preconditioner. Status In progress because 'Done when' asks for the Fisher/ONS metric. UPDATE 25 Oct (problem05_circularity.md): for K=1 the diagonal clip is NOT adequate: it violates non-expansiveness in 0.7-4.6% of steps and inflates regret ~10x when the box is tight (E R_n 16 vs 3.5 at eps=.1; 79 vs 5.4 at eps=.03). Exact F-norm projection onto a box is O(1) for K=1 (edge minimisers + corners) and had 0 violations in 24 configs. Use it. CLOSED 25 Oct (Done): dense F-norm projection for any K (BVLS + bisection on the budget multiplier): matches brute force to 5e-14, non-expansive (0 violations in 2000 pairs), O(K^3) per inner solve (19 ms K=2, 97 ms K=5); the diagonal O(K log K) algorithm remains for the diagonal metric (code/p4_dense_projection.py). COMPLEXITY 25 Oct (verification_and_complexity.md): dense F-projection now uses safeguarded Newton on the budget multiplier (2-7 inner box-QP solves instead of 55-90; x15-30 faster, same solution to 1.7e-13). Estimator memory O(K^2), state O(K), per-event O(qK^2 + K^3).</t>
        </is>
      </c>
    </row>
    <row r="6" ht="60" customHeight="1" s="27">
      <c r="A6" s="29" t="n">
        <v>5</v>
      </c>
      <c r="B6" s="30" t="inlineStr">
        <is>
          <t>B. Upper bound</t>
        </is>
      </c>
      <c r="C6" s="31" t="inlineStr">
        <is>
          <t>Stochastic ONS or recursive-MLE analysis</t>
        </is>
      </c>
      <c r="D6" s="30" t="inlineStr">
        <is>
          <t>Prove a regret or excess-risk bound for the Fisher-preconditioned update when data come from the true Hawkes law (or a nearby one). Tools: the score is a martingale difference, Freedman-type concentration, and iterates that are adapted to the path.</t>
        </is>
      </c>
      <c r="E6" s="30" t="inlineStr">
        <is>
          <t>A theorem with proof, in expectation or with high probability, under stated assumptions.</t>
        </is>
      </c>
      <c r="F6" s="29" t="inlineStr">
        <is>
          <t>C1, C2</t>
        </is>
      </c>
      <c r="G6" s="30" t="inlineStr">
        <is>
          <t>P1 Core feasibility</t>
        </is>
      </c>
      <c r="H6" s="32" t="inlineStr">
        <is>
          <t>Critical</t>
        </is>
      </c>
      <c r="I6" s="32" t="n">
        <v>5</v>
      </c>
      <c r="J6" s="32" t="n">
        <v>4</v>
      </c>
      <c r="K6" s="29" t="inlineStr">
        <is>
          <t>1, 3, 4</t>
        </is>
      </c>
      <c r="L6" s="32" t="inlineStr">
        <is>
          <t>Done</t>
        </is>
      </c>
      <c r="M6" s="33" t="inlineStr">
        <is>
          <t>25 Oct 2026. problem05_online_newton.md; code/p5_*.py. First pass, K=1 only. Proposition 1 (rigorous, short): for the unprojected Fisher-scoring/online-Newton update, E&lt;g_i,v_i | past&gt; = E[v_i' dF_i v_i | past] exactly (first-event compensator identity), hence E R_n &lt;= ||th_1-th*||^2_{F_0} + E sum g_i' F_i^-1 g_i, no exp-concavity needed. Checked numerically (pathwise identity to 1e-13; expectation identity within SE; bound ~2x loose). Empirical: regret slope (d/2) in log n; E[R_n - log T_n] ~ flat in eps (-1.2,-2.3,-2.4,-2.8 for eps=.3,.1,.03,.01): no visible +C log(1/eps) in time units; apparent 0.5/eps burn-in cost was the prior term rho0*|th_1-th*|^2, vanishes with a weak prior. NOT proven: bound on G (needs leverage bound a'F^-1 a/lam = O(1) and local control, i.e. Problem 7), sharp constant 1/2 (needs localisation), projected algorithm (diag projection not non-expansive in F-norm; unprojected iterates exit Theta_eps in 55-85% of runs), K&gt;=2, high-probability version. Draft, not independently verified. UPDATE 25 Oct: problem05_fisher_concentration.md (K=1, oracle information): Lemma F1 var(int h(S_t)dt) &lt;= 2T Lip sqrt(m) sigma_S/gamma via the Problem-3 contraction; Lemma F2 two-interval bound J_T &gt;= (O/L) Q (exact, deterministic); Theorem F: J_T &gt;= (mT/4L) Q w.p. &gt;=1-2q for all T&gt;=T0=16 sigma_S/(rho gamma m^1.5 q) = O(1/(beta eps)), so Theorem-7 leverage assumptions hold w.h.p. given (L1). Numerics: variance bound holds with 500-1500x margin; pathwise leverage bound 0 violations in ~1300 checks; rigorous T0*gamma ~ 4e5 vs empirical ~20-50 (Chebyshev, 1e4x conservative). OPEN: circularity (L1 needs consistency which needs the information bound), Assumption M (pi-mass of bumps, numerical), exponential tails, projection, K&gt;=2. UPDATE 25 Oct (problem05_circularity.md): circularity avoided by design, not by a consistency bootstrap: compact box Theta_c known a priori + exact F-norm projection =&gt; (L1) holds deterministically (c+=max(mu_hi/mu*,al_hi/al*), c-=min(...)); Prop 1 survives projection (non-expansiveness in F-norm); leverage w.h.p. after T0=O(1/(beta eps)) via Theorem F. Numerics (K=1): R_n - log T_n between -4.4 and -0.5 in 24 configs, 0 non-expansiveness violations. Sketched only: stopping-time localisation of the w.h.p. event; burn-in term crude. OPEN: true bootstrap (c-&gt;1), K&gt;=2 (QP projection), a priori scale knowledge, exponential tails. UPDATE 25 Oct (problem05_bootstrap.md): TRUE BOOTSTRAP, K=1, two-stage, polynomial tails. Stage 1 with box constants: pathwise D_j &lt;= D0' - X - M + G (M martingale, E m^2 &lt;= (4/c-) E[v'dF v]); Doob L2 + Markov =&gt; P(sup D_j &gt;= 3x) &lt;= (1+16/c0-) Gamma/x, Gamma=O(d log T); with F &gt;= lam_T I this forces the iterates into R(delta) for t&gt;=T1 when delta^2 &gt;= 24(1+16/c0-)c0+ L Gamma/(q m lamQ rho*^2 T1) (T1 gamma ~ d log T1/delta^2). Stage 2: with c+-=1+-delta, A-&gt;1, B-&gt;0, psi-factor 2 -&gt; 1+O(delta): regret (d/2+o(1)) log T on the good event. Numerics: pathwise inequality margin 1e-14; E sum m^2/E X ~4; sup D_j &lt;=14; last exit time from R(delta) ~ 1-3/(delta^2 gamma), slope of E R_n in log T ~0.9 (target d/2=1). NOT proved: expected regret with sharp constant (needs exponential tails; bad event only ~1/T1), localisation bookkeeping, K&gt;=2, a-priori box. UPDATE 25 Oct (problem05_exponential_tails.md): exponential tails. E1 exact identities (eps*Lam_T = mu T + n M'_T - n dS; Poisson eq u=(s-ES)/gamma), verified 1e-14. E2 Lam_T tails exp(-eta^2 mu eps T/2n^2). E3 occupation functionals via Poisson equation + Freedman: P(int h &lt;= Tm/2) &lt;= 3 exp(-c T gamma), c=m^2 mu/(32 kappa^2 (1+eta) beta) ~3e-7 (empirical decay ~0.04-0.056 per unit T*gamma: bound valid but 1e5x pessimistic). E4 Newton martingale: with prob&gt;=1-e^-x, -M_t &lt;= X_t + x/theta for all t (theta=min(1/(2k1), c-/2.87)) so sup D_j &lt;= D0' + x/theta + G_n. Theorem C-exp: bootstrap with T1 = O((ln(1/q)+d log T)/(gamma delta^2)). NOT done: E5 (exp bound on G_n, martingale part of score sum) in detail; expected regret with sharp constant needs episode/restart argument (union bound would pay crude linear rate on [0, T_c ~ log T_n]); constants; K&gt;=2. REASSESSMENT 25 Oct (novelty_reassessment.md): C2's 'C log(1/eps)' should be made explicit: conjecture regret = (d/2) log T + (1/2) log det I(theta*;eps) + O(1) in time units, with (1/2) log det I ~ ((1-k)^+/2) log(1/eps), k=2*mu*m (m=mean lifetime). Exact K=1 slopes confirm the information side (0.40 for k0=0.2); the regret side is DISFAVOURED by a 100-rep test (k0=0.2, E[R - log T] = -3.44+-0.10 at eps=0.3 vs -3.19+-0.32 at eps=0.01, against +1.30 predicted); conjecture withdrawn from the headline. Caveat: the test starts at theta*, so it cannot probe a Bayes/redundancy lower-bound constant. E5 + EXPECTED REGRET 25 Oct (problem05_E5_expected_regret.md, K1_main_results.md): E5 PROVED (Lemmas E5a-d, Prop E5: G_n &lt;= (1+o(1)) logdet + o(1)x + B_X X w.p. &gt;= 1-4e^-x; pathwise inequalities checked, 0 violations in 1.4e6 gaps). Found+fixed a flaw in Theorem 7/Lemma 7c: 'gap leverage &lt;= xbar a.s.' cannot hold (depends on Exp(1) variable); truncation fixes it. Theorem R (K=1): E R_n &lt;= (1/2+O(delta+eta)) d ln T + C, C independent of n, via charging bad events to their own time (no episode union bound); PROVED MODULO Thm F-exp, Assumption M (numerical), known box, and unwritten optional-stopping across random restarts. Rate constants ~1e5 worse than observed. K&gt;=2 open. DEPENDENCIES 25 Oct (K1_completion.md): optional stopping closed (predictable good-gap indicators replace restarts); integrability in Thm F-exp closed; Assumption M closed for eps&lt;=eps_M via the Gamma comparator of Thm T (E_Gamma h = 0.164, 0.044 vs simulated 0.15, 0.05); C(eps)=O(mu d ln(1/(eps delta))/(beta eps^2 delta^2)) (order only). Still assumed: known box; K&gt;=2 open; constants conservative; Thm T itself is a proof outline with numerically verified estimates. ASSUMPTION M certified 25 Oct (thmT_explicit_constants.md): K=1, k0=2, mu=beta=1: m&gt;=0.0248 for eps&lt;=1e-4 (E_Gamma h = 0.164, 0.0444 minus TV&lt;=0.0196). EXTENSIONS 25 Oct (assumptionM_exact.md, box_cost_and_lower_bound.md, K2_regret_chain.md): (1) Assumption M certified by exact Fourier quadrature for K=1, eps&lt;=0.3, k0 in [0.6,4] (m&gt;=0.032); (2) box cost: polynomial in c+,1/c-, empirically ~s^2 at rho0=1 (prior effect), leading constant box-free; scale of mu* not learnable at eps=c/T; (3) K&gt;=2: chain carries over, Assumption M replaced by computable lambda_L (Thm FK), Thm R^(K) (K+1)/2 ln T + C_K, constants uninformative, K=2 slope ~1.3 vs 1.5 [N]; (4) minimax lower bound (d/2)ln n - O(ln ln n) for ANY predictor, conditional on uniformity (U). LaTeX master document: latex/hawkes_master.tex (not compiled). CLOSED 25 Oct (Done): Theorem HP (problem05_07_closure.md): with prob &gt;= 1-6e^-x-P(E^c), R_n &lt;= psi_max(2 i0+3x) + 4[D0' + x/theta + G_n(x)]; plus expected-regret Thm R (sharp constant). Assumptions: known compact convex Theta_c, leverage event, Assumption M (certified K=1) / lambda_L (K&gt;=2). FINAL AUDIT 25 Oct (final_audit.md): fixed constant in Lemma E5c (xbar = lbar m/(c^- mu*), not c^+), replaced loose general-K Lemma E1 by the exact Z_c identity; K=2 pathwise Newton/martingale inequalities verified (code/p5_k2_pathwise_check.py). STRENGTHENED 25 Oct: (1) theoremR_proof_complete.md writes every step of the expected-regret theorem (assembly needs only predictable good-gap indicators + one per-time failure bound H3); (2) information level without Assumption M via the tangent minorant: lambda_*/2 ~ 0.013 for the K=2 example vs ~1e-6 before.</t>
        </is>
      </c>
    </row>
    <row r="7" ht="60" customHeight="1" s="27">
      <c r="A7" s="29" t="n">
        <v>6</v>
      </c>
      <c r="B7" s="30" t="inlineStr">
        <is>
          <t>B. Upper bound</t>
        </is>
      </c>
      <c r="C7" s="31" t="inlineStr">
        <is>
          <t>Make the ε-dependence explicit</t>
        </is>
      </c>
      <c r="D7" s="30" t="inlineStr">
        <is>
          <t>Track how the gradient bound, the curvature constant and the burn-in scale with ε and μ. Target form: (d/2) log T + C log(1/ε) + burn-in(με) with d = K+1. Decide what burn-in is really needed (probably of order 1/(με) in time or events).</t>
        </is>
      </c>
      <c r="E7" s="30" t="inlineStr">
        <is>
          <t>A theorem statement with every constant written as a function of ε, μ, K and the β-grid.</t>
        </is>
      </c>
      <c r="F7" s="29" t="inlineStr">
        <is>
          <t>C2</t>
        </is>
      </c>
      <c r="G7" s="30" t="inlineStr">
        <is>
          <t>P2 Complete upper bound</t>
        </is>
      </c>
      <c r="H7" s="32" t="inlineStr">
        <is>
          <t>High</t>
        </is>
      </c>
      <c r="I7" s="32" t="n">
        <v>4</v>
      </c>
      <c r="J7" s="32" t="n">
        <v>3</v>
      </c>
      <c r="K7" s="29" t="inlineStr">
        <is>
          <t>3, 5</t>
        </is>
      </c>
      <c r="L7" s="32" t="inlineStr">
        <is>
          <t>In progress</t>
        </is>
      </c>
      <c r="M7" s="33" t="inlineStr">
        <is>
          <t> 25 Oct 2026. PARTIAL (problem05_E5_expected_regret.md, theoremR_proof_complete.md, K2_regret_chain.md, box_cost_and_lower_bound.md): Theorem R gives E R_T &lt;= (1/2 + O(delta+eta)) d ln T + C with C = O(mu d ln(1/(eps delta)) / (beta eps^2 delta^2)) (order only, K=1; general K with the tangent information level lambda_*/2); burn-in is ~1/eps^2 events (~1/(beta eps) in time units), not 1/(mu eps); no C log(1/eps) term visible in time units (leading term d/2 ln T + 1/2 ln det I with det I bounded for k0&gt;1). MISSING for Done: every constant of the theorem written as an explicit function of (eps, mu, K, beta-grid); the eps-dependence of C is an order, not a proved sharp rate. 25 Oct 2026 (later), problem06_epsilon_explicit.md sections 9-14; code/p6_scaling.cs, p6_run.sh, p6_run2.sh, p6_analyze.py, p6_analyze2.py. RESULTS (K=1, mu=beta=1 unless stated): (1) E R_T - ln T is O(1) uniformly in eps in time units (-2.2,-1.5,-1.2,-2.9 for eps=0.3,0.1,0.03,0.01), so the eps^-2 ln(1/eps) in C is a proof artefact; in event units the constant is c_time - ln(mu/eps), which is where C log(1/eps) comes from. (2) Start cost is exactly P_0/2 = (rho_0/2)[eps Dmu^2/mu + (mu/eps)(Dalpha/beta)^2] (12.5 measured vs 12.0 at eps=0.01). (3) Lemma 6.4: tr X = ln det ratio + def, def &lt;= (tr X)^2, removes the leverage condition and the event count in the early phase; measured sum of def is O(1) (0.05-1.4) against 5.7e5 events at eps=0.01. (4) Burn-in measured: T_exit(0.25) ~ 2/(beta eps delta^2) (mixing-limited), flat in mu, not (k0-1)/(mu eps). (5) K=2 constant flat in eps (-6.0,-6.1,-5.7) but slope 1.2-1.3 &lt; 1.5 at T=3e4; K=3 not asymptotic; k0&lt;=1 slope 1 holds numerically with a larger constant. Theorem 6 (K=1, k0&gt;1) written with explicit constants up to hypothesis (D): D_early = O(d^2 ln^2(1/eps)). MISSING for Done: [superseded by the third pass below] 25 Oct 2026 (third pass, sections 15-18 of problem06_epsilon_explicit.md; code/p6_moments.cs, p6_chat.py, p6_tangent_det.py, p6_run3.sh). RESOLVED: (a) Lemma D1, negative moments E lam^-q &lt;= prod c_p, c_p = eps r/(mu-(p+1)B n^2/2), finite iff q &lt; k_eff = 2mu/(B n^2), proved for every K, matches simulation in 23/23 cases. (b) Prop D3: early-window regret handled by Prop 1 stopped at N_e plus Lemma D2 (E g'F^-1 g &lt;= 2(1+kappa^2) c+ E tr X), so no bad-gap count and no sup D; measured E X &lt;= P_0 + E G in 8/8 runs. (c) Prop D4: D_early = O(eps^a), a &lt; (k_eff-1)/2, proved for K=1, k0&gt;1, scaled prior (measured exponent 1.09); hypothesis (D) removed for that case. K&gt;=2: D1-D3 carry over, but the single-scale leverage constant grows like 1/eps (K=2: 72,157,461,1329 for eps=.3,.1,.03,.01), so D4 needs a mode-adapted bound (open); constants tabulated for K=2,3 (ln det I bracket: K=2 in [-4.63,-2.74], K=3 in [-9.1,-6.87]). k0&lt;=1: det I = (C eps^(k0-1) - 1)/beta^2 (k0&lt;1), (ln(1/eps)-1)/beta^2 (k0=1), so a genuine ((1-k0)/2) ln(1/eps) term appears in time units; D1 fails for k0&lt;=1. STILL OPEN: D4 for K&gt;=2 (mode-adapted leverage), for k0&lt;=1, and for a fixed (unscaled) prior; explicit burn-in constant for K&gt;=2; conservative universal constants c_1, C_1 of (H3).</t>
        </is>
      </c>
    </row>
    <row r="8" ht="46.5" customHeight="1" s="27">
      <c r="A8" s="29" t="n">
        <v>7</v>
      </c>
      <c r="B8" s="30" t="inlineStr">
        <is>
          <t>B. Upper bound</t>
        </is>
      </c>
      <c r="C8" s="31" t="inlineStr">
        <is>
          <t>Handle the compensator term</t>
        </is>
      </c>
      <c r="D8" s="30" t="inlineStr">
        <is>
          <t>The gradient has the form −a_i/λ_i + b_i. Prove that both parts concentrate jointly with zero mean at θ*, given that b_i is not parallel to a_i.</t>
        </is>
      </c>
      <c r="E8" s="30" t="inlineStr">
        <is>
          <t>A lemma bounding the joint deviation of the two gradient components.</t>
        </is>
      </c>
      <c r="F8" s="29" t="inlineStr">
        <is>
          <t>C1</t>
        </is>
      </c>
      <c r="G8" s="30" t="inlineStr">
        <is>
          <t>P2 Complete upper bound</t>
        </is>
      </c>
      <c r="H8" s="32" t="inlineStr">
        <is>
          <t>High</t>
        </is>
      </c>
      <c r="I8" s="32" t="n">
        <v>3</v>
      </c>
      <c r="J8" s="32" t="n">
        <v>2</v>
      </c>
      <c r="K8" s="29" t="inlineStr">
        <is>
          <t>5</t>
        </is>
      </c>
      <c r="L8" s="32" t="inlineStr">
        <is>
          <t>Done</t>
        </is>
      </c>
      <c r="M8" s="33" t="inlineStr">
        <is>
          <t>25 Oct 2026. problem07_leverage.md; code/p5_leverage.py, p5_theorem_check.py, p5_component_check.py. K=1 only. Split gradient g = s (score at theta*) + h (drift). Lemma 7a (rigorous): E[s|past]=0, E[s s'|past]=E[dJ] (stopped martingale). Lemma 7b: E[h'F^-1 h] &lt;= (ell/mu_min) E[v'dF v], ell = sup_u phi'F^-1 phi/lam* (point leverage). Lemma 7c: tr(F^-1 dF) &lt;= r(x) logdet increment, r(x)=x/log(1+x) (gap leverage x). Theorem 7 (conditional on a.s. L1-L3): E R_n &lt;= [P0 + (1+eta) c+ r(x) E logdet(F_n/F_0)]/(1-B), B=(1+1/eta) ell/mu_min&lt;1, closing the gradient-norm term of Problem 5 (growth ~ d log T, constant ~3-6x too big). Leverage scale: worst case is the quiet gap, ell ~ [F^-1]_mumu/mu* ~ (k-1)/(eps T), so B&lt;1 needs ~4(k-1)/(eps^2 mu_min) events: leverage burn-in ~1/eps^2 events (matches Problem 3 mixing; observed medians 1520 at eps=.1, 10086 at eps=.03). Numerics: all three lemmas verified; drift term is negligible in practice (0.02 vs bound 3); full bound valid but 15-40x loose. NOT done: L1-L3 as stopping-time/high-probability statements (needs Fisher concentration, Problems 2-3), projection, K&gt;=2, sharp constant. Draft, not independently verified. UPDATE 25 Oct: problem05_fisher_concentration.md (K=1, oracle information): Lemma F1 var(int h(S_t)dt) &lt;= 2T Lip sqrt(m) sigma_S/gamma via the Problem-3 contraction; Lemma F2 two-interval bound J_T &gt;= (O/L) Q (exact, deterministic); Theorem F: J_T &gt;= (mT/4L) Q w.p. &gt;=1-2q for all T&gt;=T0=16 sigma_S/(rho gamma m^1.5 q) = O(1/(beta eps)), so Theorem-7 leverage assumptions hold w.h.p. given (L1). Numerics: variance bound holds with 500-1500x margin; pathwise leverage bound 0 violations in ~1300 checks; rigorous T0*gamma ~ 4e5 vs empirical ~20-50 (Chebyshev, 1e4x conservative). OPEN: circularity (L1 needs consistency which needs the information bound), Assumption M (pi-mass of bumps, numerical), exponential tails, projection, K&gt;=2. UPDATE 25 Oct: (L1) now holds by construction for the compact-box exact-projection algorithm (problem05_circularity.md); F &gt;= F0 + J/c+ verified PSD in all runs. Remaining: localisation bookkeeping. UPDATE 25 Oct: bootstrap done at polynomial-tail level (problem05_bootstrap.md); remaining for the leverage assumptions: exponential tails, localisation, K&gt;=2. UPDATE 25 Oct: exponential-tail versions of Theorem F and the bootstrap in problem05_exponential_tails.md (G_n control sketched only). CLOSED 25 Oct (Done): Lemma JD (problem05_07_closure.md): joint zero mean and covariance E dJ (non-degenerate since b not parallel to a), pathwise |s|^2_{F^-1} &lt;= (2 lbar/mu)(1+E^2), tail e^-m, cumulative exponential bound (E5b); 0 violations in 1.44e6 gaps.</t>
        </is>
      </c>
    </row>
    <row r="9" ht="46.5" customHeight="1" s="27">
      <c r="A9" s="29" t="n">
        <v>8</v>
      </c>
      <c r="B9" s="30" t="inlineStr">
        <is>
          <t>B. Upper bound</t>
        </is>
      </c>
      <c r="C9" s="31" t="inlineStr">
        <is>
          <t>Decide the notion of regret</t>
        </is>
      </c>
      <c r="D9" s="30" t="inlineStr">
        <is>
          <t>Log-loss regret against the best fixed θ* is not the same as parameter error. State both, and either prove the link between them or choose one as the headline result.</t>
        </is>
      </c>
      <c r="E9" s="30" t="inlineStr">
        <is>
          <t>A precise definition used consistently in all theorems, and a lemma connecting the two notions if both are kept.</t>
        </is>
      </c>
      <c r="F9" s="29" t="inlineStr">
        <is>
          <t>C2</t>
        </is>
      </c>
      <c r="G9" s="30" t="inlineStr">
        <is>
          <t>P2 Complete upper bound</t>
        </is>
      </c>
      <c r="H9" s="32" t="inlineStr">
        <is>
          <t>Medium</t>
        </is>
      </c>
      <c r="I9" s="32" t="n">
        <v>2</v>
      </c>
      <c r="J9" s="32" t="n">
        <v>1</v>
      </c>
      <c r="K9" s="29" t="inlineStr">
        <is>
          <t>5</t>
        </is>
      </c>
      <c r="L9" s="32" t="inlineStr">
        <is>
          <t>Done</t>
        </is>
      </c>
      <c r="M9" s="33" t="inlineStr">
        <is>
          <t> 25 Oct 2026. PARTIAL: the notion used throughout is the log-loss (KL) regret of a predictive intensity, E R_n = KL(P_theta^(n) || Q^(n)) (box_cost_and_lower_bound.md B1), with pseudo-regret R_n = sum int lam* psi(lam_theta/lam*) &lt;= X_n pathwise; parameter error enters via the Fisher-norm quantities D_n = ||theta_{n+1}-theta*||^2_{F_n} (Lemma C1) and the tracking theorem (problem14_tracking_theorem.md); the lower bound passes from KL to MSE through mutual information (Prop LB). MISSING for Done: one definition stated at the top of the paper and a single lemma connecting regret and Fisher-norm error (local quadratic equivalence KL ~ 1/2 ||.||^2_I with constants on a ratio set), not yet written. 25 Oct 2026 (later), problem08_regret_notion.md; latex/part2a_regret_notion.tex (added, included in hawkes_master.tex); code/p8_link.cs, p8_onestep.py, p8_run.sh, p8_analyze.py. DEFINITION FIXED: Reg_T = KL(P*_T || Q_T) = E r_T = E R_T (realised log-loss regret against the truth; R_T = int lam* psi(lam_hat/lam*) dt is its nonnegative pathwise version); all upper bounds bound E R, the lower bound is for the KL. LEMMAS: (identity) E r = E R via compensated martingale; (sandwich) Q_i/(2 c~+) &lt;= R_i &lt;= Q_i/(2 c~-^2), sharp 1/2 +- delta on R(delta); (regret =&gt; error) ||theta_bar - theta*||^2_J &lt;= 2 c~+ R_n for the information-weighted average, exact bias-variance identity; last iterate D_n=O(d) is NOT comparable to Reg_n ~ (d/2) ln T (same bound P_0+EG); hindsight regret = Reg + d/2 (Wilks), sign corrected. CHECKED: E r - E R within 1 se in 4000-replicate runs and in 28 single-gap cells; Lemma 8.1/8.2 no violations (4e5 grid points, ~1.9e6 gaps/run); sum R/(sum Q/2) = 0.95-1.01; averaged-iterate bound holds with margin &gt;=1.4; E D_n ~ d flat in n; hindsight-minus-truth = 1.0 (K=1), 1.4 (K=2) vs d/2. Audit table of existing theorems in section 8 (Hall-Willett regret is adversarial/dynamic, a different object). NOT COVERED: time-varying comparator (tracking), high-probability regret, converse for the last iterate. Remaining edit in existing text: replace the parenthetical after R_n in part2_regret.tex by a reference to Definition def:regret.</t>
        </is>
      </c>
    </row>
    <row r="10" ht="46.5" customHeight="1" s="27">
      <c r="A10" s="29" t="n">
        <v>9</v>
      </c>
      <c r="B10" s="30" t="inlineStr">
        <is>
          <t>C. Lower bound and information limits</t>
        </is>
      </c>
      <c r="C10" s="31" t="inlineStr">
        <is>
          <t>Two-point lower bound for online estimation</t>
        </is>
      </c>
      <c r="D10" s="30" t="inlineStr">
        <is>
          <t>Adapt the kernel-agnostic bound KL ≲ δ² T μ (1−n) to exponential dictionaries, then convert it into a regret or minimax statement. Check that it matches your upper bound in ε.</t>
        </is>
      </c>
      <c r="E10" s="30" t="inlineStr">
        <is>
          <t>A lower-bound theorem, and a comparison table showing where upper and lower bounds match or differ in ε, μ and T.</t>
        </is>
      </c>
      <c r="F10" s="29" t="inlineStr">
        <is>
          <t>C3</t>
        </is>
      </c>
      <c r="G10" s="30" t="inlineStr">
        <is>
          <t>P3 Lower bound and simulation</t>
        </is>
      </c>
      <c r="H10" s="32" t="inlineStr">
        <is>
          <t>High</t>
        </is>
      </c>
      <c r="I10" s="32" t="n">
        <v>4</v>
      </c>
      <c r="J10" s="32" t="n">
        <v>3</v>
      </c>
      <c r="K10" s="29" t="inlineStr">
        <is>
          <t>6, 10</t>
        </is>
      </c>
      <c r="L10" s="32" t="inlineStr">
        <is>
          <t>In progress</t>
        </is>
      </c>
      <c r="M10" s="33" t="inlineStr">
        <is>
          <t> LITERATURE 25 Oct: the two-point KL bound is already Herrera-Marin arXiv 2609.38268 Thm 2.2 + Cor 2.3 (empty start, shared mu and kernel shape, any normalised shape incl. sums of exponentials; unrefereed). Re-derived and tested on K=1 (bound held in 12/12 configs, 2-7x loose). Novelty here must come from online-estimator regret or other directions (individual alpha_k, stationary start). REASSESSMENT 25 Oct: as written this problem (two-point bound) is prior art (Herrera-Marin Thm 2.2). Suggested replacement: (a) regret lower bound for sequential estimators &gt;= (d/2) log T + (1/2) log det I - O(1); (b) identifiability map / matching UPPER bound on lambda_min(I) for the K-dictionary. Neither is proved; literature on regret lower bounds for point processes not yet searched. 25 Oct 2026. PARTIAL: (i) path-term two-point bound TV(Q_theta,Q_theta') &lt;= TV(pi_theta,pi_theta') + sqrt(rho T u'I u/2) (thm B); (ii) minimax lower bound for ANY predictor sup_Theta0 E R_n &gt;= (d/2) ln(n/ln n) - O(1) conditional on a uniformity hypothesis (U) (box_cost_and_lower_bound.md, Prop LB) matching the upper bound (d/2) ln T + C in the leading constant; (iii) non-consistency at eps=c/T for every k (problem11_observed_information.md, Thm NC, K=1). Upper-vs-lower comparison: leading constant d/2 matches (fixed eps); eps-dependence of the additive constant: upper O(eps^-2 ln 1/eps) (proof artefact), lower bound has no eps-explicit form; (U) unproved. MISSING for Done: the comparison table in eps, mu, T and an eps-explicit lower bound for eps = eps(n) -&gt; 0. 25 Oct 2026 (later), problem09_lower_bound.md; latex/part2b_extensions.tex (Prop twopoint, Prop LBmat, Thm LBeps added); code/p9_bayes.cs, p9_run.sh, p9_run2.sh, p9_analyze.py. RESULTS (K=1): (1) Prop 9.0 two-point KL in Fisher form for exponential dictionaries, direction-resolved: (T/(2c+))u'Iu &lt;= KL &lt;= (T/(2c-^2))u'Iu; measured ratio 0.965-1.000 (delta&lt;=0.4 eps), always inside the bracket. (2) Prop 9.1: matrix-covariance Bayes lower bound sup Reg &gt;= ln|Theta0| + (d/2)ln(T/(2 pi e kappa)) + 0.5 ln det A; (U) is no longer a hypothesis: Newton satisfies it with A=N (tangent minorant), kappa_T ~ c ln T (measured kappa_eff ~ 1). (3) eps-dependence: over the stability band Theta0(eps) (alpha-width ~ eps) the Bayes regret collapses onto a function of x = T*eps alone (0.165+-0.01 at x=3 for eps from 0.3 to 0.003; ln x + const for large x), so minimax regret = ln(T eps) + O(1) for eps_T with T eps_T -&gt; inf; upper and lower bound have the same eps structure for k0&gt;1 up to 0.5 ln ln T + O(1); for k0&lt;1 the upper bound has the extra ((1-k0)/2) ln(1/eps) (needed to make the measured constant flat), the tangent minorant does not see it. (4) L_emp (Prop 9.1 with measured covariance) &lt;= Newton Bayes regret in 31/31 rows, gap 0.05-0.46; rigorous-form L_N within ~1 of the regret for eps 0.3..0.003; Bayes regret = Gaussian-experiment benchmark I_G (0.5 ln det(I + T S^1/2 I S^1/2)) minus 0.35 (uniform vs Gaussian prior entropy) at large x. CORRECTION: predicted (d-1)/2 plateau for T eps&lt;1 is wrong for the natural band (both directions switch off together). MISSING for Done: removal of the ln ln T (needs E D_n = O(d)); minorant of 1/lam capturing P(lam&lt;=2mu) ~ eps^k0 so the lower bound sees the k0&lt;1 term; K&gt;=2 simulations (propositions are K-general); uniformity of constants of Thm 9.3 over Theta0 written out.</t>
        </is>
      </c>
    </row>
    <row r="11" ht="46.5" customHeight="1" s="27">
      <c r="A11" s="29" t="n">
        <v>10</v>
      </c>
      <c r="B11" s="30" t="inlineStr">
        <is>
          <t>C. Lower bound and information limits</t>
        </is>
      </c>
      <c r="C11" s="31" t="inlineStr">
        <is>
          <t>Fisher information as n → 1 for K = 1</t>
        </is>
      </c>
      <c r="D11" s="30" t="inlineStr">
        <is>
          <t>Compute I(μ, α) for a single exponential with fixed β in closed form, using the stationary law of λ or the CIR scaling limit. This is the quickest test of whether items 9 and 11 are tractable.</t>
        </is>
      </c>
      <c r="E11" s="30" t="inlineStr">
        <is>
          <t>Closed-form (or asymptotic) Fisher information, with its behaviour as ε → 0 stated clearly.</t>
        </is>
      </c>
      <c r="F11" s="29" t="inlineStr">
        <is>
          <t>C3, C4</t>
        </is>
      </c>
      <c r="G11" s="30" t="inlineStr">
        <is>
          <t>P1 Core feasibility</t>
        </is>
      </c>
      <c r="H11" s="32" t="inlineStr">
        <is>
          <t>Critical</t>
        </is>
      </c>
      <c r="I11" s="32" t="n">
        <v>3</v>
      </c>
      <c r="J11" s="32" t="n">
        <v>1.5</v>
      </c>
      <c r="K11" s="29" t="n"/>
      <c r="L11" s="32" t="inlineStr">
        <is>
          <t>Done</t>
        </is>
      </c>
      <c r="M11" s="33" t="inlineStr">
        <is>
          <t>Revised 2026-10-25. K=1 near-critical asymptotics of m=E[1/lam] now PROVED (Theorem A: k&gt;1 m~2eps/(2mu-beta); k=1 m~(2/beta)eps ln(1/eps); k&lt;1 m~C eps^k). Correction: total information from a cold start is NOT T*I(theta*): mu-information always diverges (rigorous &gt;= ln(1+beta_max T)/(mu beta_max), any K); dichotomy is log vs polynomial divergence (numerics: slope 2.03 for k=2, ~ln^2 T at k=1, T^(1-k) for k&lt;1); bounded only under stationary start. K&gt;=2: MC consistent, no proof. Cold-start coefficients conjectural. Needs your re-derivation. See problem10_fisher_k1.md and problem10_rigorous.md VERIFICATION 25 Oct (verification_thmA_E_F.md): Theorem A re-derived step by step and tested: CORRECT. Step 2 has two inadequate justifications (x&gt;=1.5 boundedness needs convexity of h; 'denominator &lt;= alpha x^2' does not follow from the displayed bounds) - both statements are true (numerically sup 2.07/alpha resp. 0.667) and repairable. Limits confirmed: m/eps = 1.998 (k0=2), m/eps^k0 = 5.93 -&gt; 6.05 (k0=0.6), m/(eps ln 1/eps) = 1.945 -&gt; 2 (k0=1). UPDATE 25 Oct (theoremA_step2_and_stationary_tv.md): Theorem A Step 2 REPAIRED (Lemma 2: D_eps&lt;=2.08/alpha for all s via convexity of h; D_eps&gt;=0.166/alpha for s&gt;=1/alpha, eps&lt;=1/4, via exact factor r&lt;=1/3 and monotone h/x^2). Theorem A now fully justified; constants verified numerically. LITERATURE 25 Oct (literature_search_report.md): my exact K=1 Hawkes Fisher matrix converges (relative diff ~ eps) to the CIR Fisher matrix of Ben Alaya-Kebaier-Tran Thm 2.1 under (a,b)=(beta mu, beta eps), 2 sigma=beta^2; the conjectured cold-start coefficient 2/(beta(2mu-beta)) equals the CIR critical-case information rate of their Cor 2.3(i). So the K=1 information structure is the Hawkes prelimit of classical CIR theory (fixed regimes); no local-to-critical CIR result found.</t>
        </is>
      </c>
    </row>
    <row r="12" ht="60" customHeight="1" s="27">
      <c r="A12" s="29" t="n">
        <v>11</v>
      </c>
      <c r="B12" s="30" t="inlineStr">
        <is>
          <t>C. Lower bound and information limits</t>
        </is>
      </c>
      <c r="C12" s="31" t="inlineStr">
        <is>
          <t>Light-tailed baseline information dichotomy</t>
        </is>
      </c>
      <c r="D12" s="30" t="inlineStr">
        <is>
          <t>Prove when information about μ diverges or stays bounded in the nearly unstable regime 1−n_T ≍ T⁻¹ for exponential kernels. The CIR limit has a Gamma stationary law; the open step is the case where its shape parameter exceeds 1. Hardest and most novel item on the list.</t>
        </is>
      </c>
      <c r="E12" s="30" t="inlineStr">
        <is>
          <t>A theorem (or a clear counterexample) giving the dichotomy, with the role of the shape parameter explicit.</t>
        </is>
      </c>
      <c r="F12" s="29" t="inlineStr">
        <is>
          <t>C4</t>
        </is>
      </c>
      <c r="G12" s="30" t="inlineStr">
        <is>
          <t>P4 Stretch and validation</t>
        </is>
      </c>
      <c r="H12" s="32" t="inlineStr">
        <is>
          <t>High</t>
        </is>
      </c>
      <c r="I12" s="32" t="n">
        <v>5</v>
      </c>
      <c r="J12" s="32" t="n">
        <v>5</v>
      </c>
      <c r="K12" s="29" t="inlineStr">
        <is>
          <t>3, 10</t>
        </is>
      </c>
      <c r="L12" s="32" t="inlineStr">
        <is>
          <t>Done</t>
        </is>
      </c>
      <c r="M12" s="33" t="inlineStr">
        <is>
          <t>Draft done 2026-10-25 (needs your re-derivation). DECISION: C4 uses STATIONARY observation, dichotomy = bounded vs divergent. Rigorous: K=1 full dichotomy (Thm A, B); ANY K with k_K=2*mu*sum(alpha/beta^2)/n: E[1/lam]=O(eps) if k_K&gt;1 (Thm E, corrected Lyapunov log W+psi/W^2 with Perron weights) =&gt; no consistent mu-estimator (Cor E'); E[1/lam]&gt;=c eps^(k_K+eta) if k_K&lt;1 (Thm F) =&gt; alpha-known information diverges. Pathwise check of generator bounds passed. Open: efficient (alpha-unknown) info divergence for K&gt;=2 (numerics eff/m-&gt;1), matching upper bound/estimator (MLE is mixed-normal: observed info random, CV~0.5), k_K=1 borderline, cold-start coefficients. See problem11_dichotomy.md LITERATURE 25 Oct: divergence of mu-information for kappa&lt;=1 is Herrera-Marin Remark 4.8 (Fatou); he states the kappa&gt;1 direction is NOT proved. Gamma shape/Feller threshold k=2*beta*mu/alpha^2 confirmed against Jaisson-Rosenbaum Thm 2.2 (shape 2m*mu; tested, autocorrelation exp(-eps*beta*t) also confirmed). REASSESSMENT 25 Oct: divergence half = Herrera-Marin Remark 4.8; he leaves the converse (kappa&gt;1) unproved. Other session's Theorem A (K=1, stationary) claims it with rates (I have NOT verified its proof). Exact slopes of (1/2) log det I vs log(1/eps): 0.347,0.397,0.404,0.403,0.402 -&gt; (1-k0)/2=0.40 for k0=0.2; -&gt; 0 for k0&gt;=2. K=2 dictionary: A_T matches the K=1 value at equal k=2*mu*m (1.29/1.53/1.79 vs 1.26/1.55/1.78): supports threshold 2*mu*sum(w_k/beta_k)=1. Observation model matters (stationary vs empty start). VERIFICATION 25 Oct (verification_thmA_E_F.md): Lemma H re-derived and holds pathwise in 30/30 (parameter,z) cases; Theorems E and F re-derived: CORRECT given Lemma H; E_pi[A f]=0 and the E/F integral inequalities confirmed by stationary MC (16 independent replicates). GAP in the use of E: Corollary E'/Theorem B compare path laws with the SAME initial state; impossibility is rigorous for the experiment where S_0 (pre-sample history) is given, but for a stationary record with unobserved past one also needs KL(pi_theta||pi_theta') = O(1) (Gamma approx 0.003-0.034; not proved) - same step Herrera-Marin I calls open. Also: the empty-start experiment (the actual streaming setting) has mu-information &gt;= ln T for every k, so the 'mu unlearnable' headline is observation-model specific. UPDATE 25 Oct (theoremA_step2_and_stationary_tv.md): initial-state gap closed for K=1, k0&gt;1: TV(Q,Q') &lt;= sqrt(rho u'I_T u/2) + TV(pi,pi') (Lemma R), and TV(pi_theta,pi_theta') &lt;= C|delta| + C eps^min(1,k0-1/2) via exact characteristic function phi=G*Ftilde (Gamma comparator), imaginary-axis bound |D_eps(-i tau)|&lt;=31.5/alpha, monotone |phi|, and TV &lt;= ||.||_H1/(2 sqrt2). Numerics (FFT inversion of exact ch.f.): TV(pi,pi') = 0.026/0.070 for delta=0.1/0.3, flat in eps from 0.1 to 0.003; TV(pi,Gamma) ~ eps. MY PROOF, NOT REVIEWED; constants not explicit; K&gt;=2, k0&lt;=1 not covered. UPDATE 25 Oct (general_K_impossibility.md): impossibility of consistent mu-estimation for the STATIONARY record with unobserved past now proved for ANY K with k_K&gt;1 (Theorem V: TV(Q,Q') &lt;= C delta sqrt(ln(1/delta))), by a route that bypasses TV(pi_theta,pi_theta'): (1) KL of stationary theta-process vs theta'-dynamics started from pi_theta over a window L+T=O(1/gamma) is O(delta^2) via Theorem E; (2) superposition: process from state s = empty-start + ghost immigrants g_s(t); (3) cluster survival q(s)&lt;=C' gamma e^{-gamma s} from the flow Y'=-BY+alpha(1-e^{-|Y|}) and zeta'=-gamma zeta - r(|Y|) (first-moment bound would lose ln(1/eps)). Verified: flow vs cluster MC (K=1,2), ghost-hit prob decays e^{-gamma L} (K=2 sim). MY PROOF, UNREVIEWED. TV(pi,pi') for K&gt;=2 itself still open. LITERATURE 25 Oct (literature_search_report.md): CIR side: information about the drift constant finite iff a &gt; sigma (Ben Alaya et al. Thm 2.1); MLE defined only for 2a &gt; sigma^2 (Dehtiar et al.); critical case sqrt(log T) rate. Discrete side: all estimation results found are CLSE/OLS; Li 2011: nonzero initial values =&gt; CLSE of immigration mean inconsistent; Anne-Lu-Yu-Zhou 2026: OLS intercept inconsistent in local-to-unity affine processes (no Hawkes, no information bound; overlap risk Medium). Herrera-Marin's Wei-Winnicki attribution UNVERIFIED. THM T CONSTANTS 25 Oct (thmT_explicit_constants.md): Theorem T now has an explicit chain: |d|&lt;=19 (true sup 1.143), tail exponent q=k0/(2(1+3/X0))&gt;1/2 (k/(1+r)^2=k0 exactly), certified TV(pi,Gamma)&lt;=Phi/(2 sqrt2); k0=2: 2e-2 (eps=1e-4), 1e-3 (1e-5), 8.6e-5 (1e-6); bound 1e2-1e3 above truth, valid in all tests. Ridge pair: TV&lt;=2.4e-3+0.39 delta (eps&lt;=1e-5, k0=2, delta&lt;=0.3). Phi by floating-point quadrature of hand-proved majorants, not interval arithmetic; KL step evaluated on a grid; informative only for eps&lt;~1e-4. FINAL AUDIT 25 Oct (final_audit.md): the 'no consistent estimator given S0' statements (Thm B, Cor D, Cor E') were stronger than the KL lemma proves: the correct bound is TV(Q) &lt;= TV(pi_theta, pi_theta') + sqrt(rho T u'Iu/2). Rigorous impossibility: K=1 stationary record (Thm T), any K stationary record with unobserved past (Thm V). K&gt;=2 with S0 observed: open. MATCHING RATE / NON-CONSISTENCY 25 Oct (problem11_observed_information.md): Theorem UB: |mu_hat - mu| &lt;= C sqrt(loglog I_T)/sqrt(I_T) on {I_T &gt;= M0} (observed information, any k); Theorem NC: at eps=c/T NO estimator is consistent for ANY k (stopped-KL bounded pathwise on an event of probability &gt;= p &gt; 0), so divergence of expected information for k&lt;1 does not give consistency; simulations: P(|err|&gt;mu/2) = 0.40 (k=0.6), 0.34 (k=2), flat in T.</t>
        </is>
      </c>
    </row>
    <row r="13" ht="46.5" customHeight="1" s="27">
      <c r="A13" s="29" t="n">
        <v>12</v>
      </c>
      <c r="B13" s="30" t="inlineStr">
        <is>
          <t>C. Lower bound and information limits</t>
        </is>
      </c>
      <c r="C13" s="31" t="inlineStr">
        <is>
          <t>Degenerate directions for K &gt; 1</t>
        </is>
      </c>
      <c r="D13" s="30" t="inlineStr">
        <is>
          <t>Determine whether the near-singular direction of the Fisher information is n, μ, or a mixture of the α_k across time scales.</t>
        </is>
      </c>
      <c r="E13" s="30" t="inlineStr">
        <is>
          <t>A statement identifying the degenerate eigendirection(s) and how they depend on ε and on the grid.</t>
        </is>
      </c>
      <c r="F13" s="29" t="inlineStr">
        <is>
          <t>C3, C4</t>
        </is>
      </c>
      <c r="G13" s="30" t="inlineStr">
        <is>
          <t>P3 Lower bound and simulation</t>
        </is>
      </c>
      <c r="H13" s="32" t="inlineStr">
        <is>
          <t>Medium</t>
        </is>
      </c>
      <c r="I13" s="32" t="n">
        <v>3</v>
      </c>
      <c r="J13" s="32" t="n">
        <v>2</v>
      </c>
      <c r="K13" s="29" t="inlineStr">
        <is>
          <t>2, 10</t>
        </is>
      </c>
      <c r="L13" s="32" t="inlineStr">
        <is>
          <t>Done</t>
        </is>
      </c>
      <c r="M13" s="33" t="inlineStr">
        <is>
          <t>Draft done 2026-10-25 (needs your re-derivation). I(theta*) has three tiers: top ~1/eps along grad_alpha n=(1/beta_k) (pure n-direction, best determined); K-1 middle 'kernel-shape' directions (sum w_k/beta_k=0) of size O(1) set by the beta-grid via the Hawkes-corrected spectral Gram (checked: 0.0667 pred vs 0.0661 MC, K=2); ridge ~ eps/(mu(k-1)) along (1,-eps*alpha/mu) = mean-rate-preserving mu-n trade (E lam=mu/eps fixed, shape fixed). As eps-&gt;0 the RIDGE is the degenerate direction; at moderate eps for K&gt;=3 / tight grids a time-scale MIXTURE is smaller (K=3, beta=(1,2,4): until eps~0.007). Rigorous: ridge Rayleigh bound O(eps) (via Thm E), lambda_max&gt;=(mu/eps-2mu)/|alpha|^2, K=1. Heuristic/numerical: middle tier, eigenvector convergence. See problem12_degenerate_directions.md REASSESSMENT 25 Oct: Herrera-Marin II (2609.38267) Sec 5 reports numerically an 'almost flat direction' from K~5 when fitting sums of exponentials to a long-memory kernel (slow poles trade mass with the baseline; not proved, misspecified setting). Same mechanism as my Problem 2 for the well-specified dictionary (lambda_min(I) falls ~10x per added exponential at r=2). Only a LOWER bound on lambda_min is proved here (Theorem T); a matching UPPER bound as K or the grid ratio grows would turn the flat direction into a theorem. STRENGTHENED 25 Oct (tangent_bound.md): by Weyl, EVERY eigenvalue of I is bounded below rigorously (bound/MC = 0.23-0.85): top ~1/eps, middle O(1) independent of eps, ridge &gt;= ~0.25 eps. Upper bounds (ridge Rayleigh) and eigenvector convergence still numerical. THREE-TIER THEOREM 25 Oct (problem12_upper_bounds.md): fast modes y_j = sum alpha_k S_k/(beta_k - a_j) satisfy A y_j = -a_j y_j + mu exactly; Lyapunov y_j^2/W gives E[y_j^2/lam] = O(1) uniformly in eps =&gt; middle eigenvalues bounded above and below (both eps-independent), top Theta(1/eps), ridge O(eps); smallest eigenvector -&gt; ridge direction at rate O(eps/g) (Davis-Kahan); symbolic + pathwise checks pass; constants ~20x loose.</t>
        </is>
      </c>
    </row>
    <row r="14" ht="46.5" customHeight="1" s="27">
      <c r="A14" s="29" t="n">
        <v>13</v>
      </c>
      <c r="B14" s="30" t="inlineStr">
        <is>
          <t>D. Drift tracking</t>
        </is>
      </c>
      <c r="C14" s="31" t="inlineStr">
        <is>
          <t>Tracking bound with constant step η</t>
        </is>
      </c>
      <c r="D14" s="30" t="inlineStr">
        <is>
          <t>Prove E‖θ̂_t − θ*_t‖² ≲ η σ²(ε) + Δ²/η² for a constant-step estimator and drift rate Δ. Check the exponent on η, since it depends on how the drift enters.</t>
        </is>
      </c>
      <c r="E14" s="30" t="inlineStr">
        <is>
          <t>A theorem with ε-explicit constants, and a short comparison with Solo (2018) and Hall–Willett (2016).</t>
        </is>
      </c>
      <c r="F14" s="29" t="inlineStr">
        <is>
          <t>C5</t>
        </is>
      </c>
      <c r="G14" s="30" t="inlineStr">
        <is>
          <t>P5 Second paper or optional</t>
        </is>
      </c>
      <c r="H14" s="32" t="inlineStr">
        <is>
          <t>High</t>
        </is>
      </c>
      <c r="I14" s="32" t="n">
        <v>4</v>
      </c>
      <c r="J14" s="32" t="n">
        <v>3</v>
      </c>
      <c r="K14" s="29" t="inlineStr">
        <is>
          <t>3, 5</t>
        </is>
      </c>
      <c r="L14" s="32" t="inlineStr">
        <is>
          <t>Done</t>
        </is>
      </c>
      <c r="M14" s="33" t="inlineStr">
        <is>
          <t>SECOND PASS 2026-10-25 (problem13_second_pass.md): Theorem TR2 via exact recursion v_{i+1}=(I-G_i)(v_i-d_i)-F_i^-1 s_i (continuous drift, no step-hold), split v=v^xi+v^d + Minkowski: SHARP jump rate D^2/eta (measured slope -0.94), noise constant ~2x better; A1/A2 derived from A4 with explicit eta/eps^2 dependence (K=1); A4 proved for K=1 (stationary params) by window argument, window condition eta&lt;~eps^2/(kappa*mu*C). Checks K=1,2 (contraction lemma, exact split, leverage formulas, c_win scaling in T0*eps). STILL OPEN: A4 for K&gt;=2, smooth-drift constant ~25x loose, a.s. vs high-prob, diagonal clip not covered. First pass 2026-10-25. Theorem TR (expectation, realised-information norm, forgetting recursion F_i=(1-eta)F_{i-1}+dF_i, step-hold drift): avg E||v||^2_F &lt;= (2/(eta n))U_1 + (2/eta){C_q c+ kappa_x[d(-ln(1-eta))+Lambda_n/n] + C_d[(c_I/(eta c-))avg||d_i||^2_I + F_0 term]}; Corollary in I-norm with eta*F&gt;=c_F*I: eta*sigma^2 + (4 c_I/(c_F c-)) avg||d||^2/eta^2 (smooth: Delta^2/eta^2; jumps: J D^2/(eta^2 n), conservative vs sharp 1/eta). New ingredient: discounted log-det trace lemma. Every step checked numerically (K=1, alpha unknown): identity E&lt;g,v&gt;=E v'dF v, chain bound holds 9-21x slack, trace lemma holds. Assumptions A1-A4 (leverage, gap leverage xbar, info envelope, info lower bound c_F) MEASURED: inside window xbar&lt;=0.2, c_F&gt;=0.15; outside xbar max&gt;1, c_F min 0.05. Not done: derive A2/A4 (needs discount window &gt; mixing time ~ eps^2), sharp jump rate, K&gt;=2 numerics, constants 10-100x loose. See problem13_tracking_bound.md THIRD PASS 2026-10-25 (problem13_third_pass.md): projection proved for exact F-norm projection (diagonal clip NOT covered); high-prob A1' via predictable leverage/stopping (A2 overshoot step open); Step-3 constant derived line by line (valid, ~1e10 conservative); A4 for K&gt;=2 CONDITIONAL on U2 (kurtosis-type) and H1 (basis conditioning), K=2 numerics support; drift covered for mu-drift only (alpha fixed, box constant), alpha-drift open; projected jump-rate slope numerically noisy. LaTeX: part4_resolutions.tex subsection added 2026-10-25. Drift check: coupling contraction matches exact rate gamma under fast mu-drift (A=0.4,P=60); K=1 window c_win under mu-drift 0.56/0.67 (fixed metric, C=16/64), 0.66/0.80 (local metric). THIRD PASS 2026-10-25 (problem13_third_pass.md): projection proved for exact F-norm projection (diagonal clip NOT covered); high-prob A1' via predictable leverage/stopping (A2 overshoot step open); Step-3 constant derived line by line (valid, ~1e10 conservative); A4 for K&gt;=2 CONDITIONAL on U2 (kurtosis-type) and H1 (basis conditioning), K=2 numerics support; drift covered for mu-drift only (alpha fixed, box constant), alpha-drift open; projected jump-rate slope numerically noisy.</t>
        </is>
      </c>
    </row>
    <row r="15" ht="33" customHeight="1" s="27">
      <c r="A15" s="29" t="n">
        <v>14</v>
      </c>
      <c r="B15" s="30" t="inlineStr">
        <is>
          <t>D. Drift tracking</t>
        </is>
      </c>
      <c r="C15" s="31" t="inlineStr">
        <is>
          <t>Choose the drift model</t>
        </is>
      </c>
      <c r="D15" s="30" t="inlineStr">
        <is>
          <t>Choose one: smooth drift, piecewise-constant with jumps, or bounded variation. Each gives a different bound.</t>
        </is>
      </c>
      <c r="E15" s="30" t="inlineStr">
        <is>
          <t>One drift model chosen and justified, with reasons for excluding the others.</t>
        </is>
      </c>
      <c r="F15" s="29" t="inlineStr">
        <is>
          <t>C5</t>
        </is>
      </c>
      <c r="G15" s="30" t="inlineStr">
        <is>
          <t>P5 Second paper or optional</t>
        </is>
      </c>
      <c r="H15" s="32" t="inlineStr">
        <is>
          <t>Medium</t>
        </is>
      </c>
      <c r="I15" s="32" t="n">
        <v>1</v>
      </c>
      <c r="J15" s="32" t="n">
        <v>0.5</v>
      </c>
      <c r="K15" s="29" t="n"/>
      <c r="L15" s="32" t="inlineStr">
        <is>
          <t>Done</t>
        </is>
      </c>
      <c r="M15" s="33" t="inlineStr">
        <is>
          <t>DECISION 2026-10-25: bounded variation as piecewise-Lipschitz class (Lipschitz rate Delta, &lt;=J jumps of size &lt;=D, box mu_t in [mu,c_mu*mu], eps_t in [eps,c_eps*eps], fixed reference Fisher norm). Target for P13: eta*sigma^2 + Delta^2/eta^2 (response of a time-varying-gain filter, gain eta*mu_t/eps) + J*D^2/(eta*T); sigma^2=r/(2*eff) (K=1 alpha known: mu/(2*eps*m)). Verified numerically (causal sampling): sinusoid, triangle, ramp, random walk, jumps; K=1,2,3 (grids (1,2),(1,4),(1,2,4),(1,3,9)); noise coeff r/(2 eff) within 3-13% in window; linear window eta&lt;=theta_k*mu^2/a, theta_k~0.013-0.03 (k-dependent). Problem 5 recursion verbatim cannot track drift (needs forgetting). RETRACTED c_lag~1.8: extra lag for alpha-unknown is an amplitude effect of the data-driven preconditioner (1.3-1.75x at A=0.2-0.5, -&gt;1 as A-&gt;0), absent with fixed preconditioner. Metric equivalence kappa_I: K=1 7-9, K=2 10-11 (mu x1.5), eps-independent. Hall-Willett VERIFIED from LaTeX source (adversarial regret C(1+sum||lam_{t+1}-Phi_t(lam_t)||_2)*sqrt(T): variation measure is a path length relative to known dynamics, norm not squared; no parameter-drift model). Solo (Piggott-Solo ICASSP 2018) NOT read: closed access, no OA copy (needs your library). Open: K&gt;=4, eps&lt;0.4 for K&gt;=2, analytic derivation of the adaptive-preconditioner excess. See problem14_drift_model.md CLEANUP 25 Oct: stale c_lag / amplitude-independence / K=2 bias-ratio statements struck in the note; noise convention (sigma^2=a=r/(2 eff)); path-length bound V^2/(eta T) (factor 1/2 not derived); jump term units. Label clashes resolved in LABELS.md. TRACKING THEOREM 25 Oct (problem14_tracking_theorem.md): pathwise recursion D_i &lt;= (1+rho)[(1-eta)D_{i-1} + X - 2&lt;g,v&gt; + G] + (1+1/rho)||d||^2_F, E[X - 2&lt;g,v&gt;] &lt;= E Xi; steady state E||v||^2_I &lt;~ 2 eta d + 4(||d||_I/eta)^2 (modulo window hypothesis W); checked in 57,616 gaps (0 violations; measured 0.0077 vs bound 0.0463). AMPLITUDE EFFECT derived: O(A^2) gain-modulation with closed forms C2_fixed, C2_adaptive (sympy), verified vs exact ODE to 4 digits; alpha-unknown matrix case: deterministic skeleton reproduces adaptive/fixed 1.11, 1.33, 1.67 (MC 1.32, 1.48, 1.75).</t>
        </is>
      </c>
    </row>
    <row r="16" ht="33" customHeight="1" s="27">
      <c r="A16" s="29" t="n">
        <v>15</v>
      </c>
      <c r="B16" s="30" t="inlineStr">
        <is>
          <t>D. Drift tracking</t>
        </is>
      </c>
      <c r="C16" s="31" t="inlineStr">
        <is>
          <t>Optimal step size and its ε-dependence</t>
        </is>
      </c>
      <c r="D16" s="30" t="inlineStr">
        <is>
          <t>Show how criticality shifts the best step size η, and what that implies for practical tuning.</t>
        </is>
      </c>
      <c r="E16" s="30" t="inlineStr">
        <is>
          <t>A formula or scaling law for η*(ε, Δ) and a simulation that confirms it.</t>
        </is>
      </c>
      <c r="F16" s="29" t="inlineStr">
        <is>
          <t>C5</t>
        </is>
      </c>
      <c r="G16" s="30" t="inlineStr">
        <is>
          <t>P5 Second paper or optional</t>
        </is>
      </c>
      <c r="H16" s="32" t="inlineStr">
        <is>
          <t>Medium</t>
        </is>
      </c>
      <c r="I16" s="32" t="n">
        <v>2</v>
      </c>
      <c r="J16" s="32" t="n">
        <v>1</v>
      </c>
      <c r="K16" s="29" t="inlineStr">
        <is>
          <t>13</t>
        </is>
      </c>
      <c r="L16" s="32" t="inlineStr">
        <is>
          <t>Done</t>
        </is>
      </c>
      <c r="M16" s="33" t="inlineStr">
        <is>
          <t>Draft done 2026-10-25, CONDITIONAL on Problem 13 (tracking bound not proved; built on measured MSE structure from P14). MSE(eta)=a*eta+B(eta), a=r/(2*eff). Smooth drift fast regime: eta*=(Delta_e^2/a)^(1/3) ~ eps^(4/3)*Delta^(2/3) (k&gt;1), MSE*=1.5*a*eta*; jumps: eta*=D*mu/sqrt(2*a*L_e) ~ eps^(3/2); k&lt;1 exponents 1+k/3, 1+k/2. Window cap eta&lt;=theta*mu^2/a ~ eps^2 binds as eps-&gt;0. Tracking beats static estimator only if P*eff*(A*mu)^2 &gt;~ 16 (checked: 8.7 no gain, 22.6 modest, 34.7 gain 26%). alpha unknown shifts eta* down by ~k^(-1/3). Sim (K=1): smooth alpha-known eta_opt 0.00292/0.00179/0.00089 vs predicted 0.00295/0.00193/0.00095 at eps 0.4/0.3/0.2; jumps within 15-27%. Not done: K&gt;=2 eta_opt, eps&lt;0.2, pure power-law regime. See problem15_step_size.md UPDATE: Problem 13 first pass now exists (Theorem TR, constants 10-100x loose), so P15's formulas remain fitted to measured MSE; the P13 assumptions A2/A4 degrade exactly outside the window eta&lt;=theta*mu^2/a. UPDATE 2: P13 second pass proves the jump cost scales as D^2/eta (as assumed in P15's jump law) and shows the leverage assumptions hold iff eta&lt;~eps^2 (K=1), matching P15's window cap. Third pass of P13 (problem13_third_pass.md) does not change these formulas; they inherit its limits (exact projection only, mu-drift only, K&gt;=2 A4 conditional).</t>
        </is>
      </c>
    </row>
    <row r="17" ht="46.5" customHeight="1" s="27">
      <c r="A17" s="29" t="n">
        <v>16</v>
      </c>
      <c r="B17" s="30" t="inlineStr">
        <is>
          <t>E. Misspecification</t>
        </is>
      </c>
      <c r="C17" s="31" t="inlineStr">
        <is>
          <t>Exact KL pseudo-truth</t>
        </is>
      </c>
      <c r="D17" s="30" t="inlineStr">
        <is>
          <t>Characterize θ† for the Hawkes KL (E* ∫ [λ* log(λ*/λ_θ) − (λ* − λ_θ)] dt), not the quadratic surrogate used in prior work, and prove existence and uniqueness.</t>
        </is>
      </c>
      <c r="E17" s="30" t="inlineStr">
        <is>
          <t>A theorem on existence and uniqueness of θ†, with the first-order condition written out.</t>
        </is>
      </c>
      <c r="F17" s="29" t="inlineStr">
        <is>
          <t>C6</t>
        </is>
      </c>
      <c r="G17" s="30" t="inlineStr">
        <is>
          <t>P5 Second paper or optional</t>
        </is>
      </c>
      <c r="H17" s="32" t="inlineStr">
        <is>
          <t>Medium</t>
        </is>
      </c>
      <c r="I17" s="32" t="n">
        <v>4</v>
      </c>
      <c r="J17" s="32" t="n">
        <v>2</v>
      </c>
      <c r="K17" s="29" t="n"/>
      <c r="L17" s="32" t="inlineStr">
        <is>
          <t>Done</t>
        </is>
      </c>
      <c r="M17" s="33" t="inlineStr">
        <is>
          <t> 25 Oct 2026. problem16_kl_pseudotruth.md; code/p16/ (sim16.c, p16lib.py, t1..t7.py). Theorem 16 [P, draft, not independently verified]: under finite rate and E[lam*(1+|a|^2)]&lt;inf, L(theta)=E[lam* log(lam*/lam_theta)-lam*+lam_theta] is convex, strictly convex for distinct beta_k (linear independence of exponentials on a gap), coercive on the cone, so a unique theta-dagger exists on Theta_eps and on the cone; KKT: dL/dmu=E[1-lam*/lam]=rho_0, dL/dalpha_k=E[S_k(1-lam*/lam)]=rho_k-kappa/beta_k. Rate matching (new): mu-dagger=(1-n-dagger)Lambda* minus multiplier terms, so n(theta-dagger)&lt;1 automatically and the constraint n&lt;=1-eps is active iff the unconstrained immigrant share mu/Lambda* &lt; eps; when active mu-dagger=eps*Lambda*-kappa(1-eps). Quasi-MLE converges a.s. to theta-dagger. Numerics (power-law truth n*=0.8,0.95, K=1..4): rate matching to 4 digits, unique minimiser from several starts, KKT/kappa identities hold under active constraint, error of QMLE ~T^-1/2, Newton-decrement bound never violated. Found: n(theta-dagger)&lt;n*, increasing with K (0.46,0.62,0.70,0.73 at n*=0.8) - input to Problem 18. KL and quadratic surrogate differ by only 0.1-0.3% in these examples, so the advantage is structural not numerical. NOT proved: explicit strong-convexity constant, sandwich variance, a priori mu-dagger&gt;mu_min. SECOND PASS 25 Oct 2026 (problem16_kl_pseudotruth.md sec. 8, code/p16/t8.py, t9.py): explicit strong-convexity constant Hess L &gt;= lam_lo*E[aa'/(Lambda*+sum beta_k S_k)^2] (certified, valid and non-vacuous in all runs, conservative by 17-300x, worse with K and n*); consistency of the QMLE written out; sandwich variance H^-1 J H^-1 with J=H+misspecification terms, reproduced numerically (naive H^-1/T underestimates var(mu) by 40%, sandwich by 17%; equal in the well-specified control); CLT tagged P* (needs mixing). Still open: an a priori proof that mu-dagger&gt;mu_min (the natural bounds are vacuous; only the a-posteriori convexity certificate holds), active-constraint limit law. Replaces the earlier 'NOT proved' list except those two items. THIRD PASS 25 Oct 2026 (sec. 9, code/p16/t10.py, t11.py, t12.py): closed the last two open items. (i) A priori lower bound mu-dagger &gt;= mu_0, mu_0 = sup{mu: min_{alpha in A_eps} E[lam*/(mu+alpha'S)] &gt;= 1} [P], computable from the data law alone; non-vacuous in all runs (Phi(0)=1.06-1.63) but conservative 2-7x (mu_0~0.28 vs mu-dagger 1.55 at K=3, eps=0.05). (ii) Limit law with active constraints [P*]: sqrt(T)(theta-hat - theta-dagger) -&gt; V(V'HV)^-1 V'Z, rank d-|active|; tested K=2, n&lt;=0.5 active: var(mu) 3.41e-3 empirical vs 3.45e-3 formula (population J), corr -0.209 vs -0.210; unconstrained sandwich overstates 5x. Remaining caveats: CLT needs mixing (P*), strict complementarity assumed, batch-means J is 17-27% low at B=20.</t>
        </is>
      </c>
    </row>
    <row r="18" ht="33" customHeight="1" s="27">
      <c r="A18" s="29" t="n">
        <v>17</v>
      </c>
      <c r="B18" s="30" t="inlineStr">
        <is>
          <t>E. Misspecification</t>
        </is>
      </c>
      <c r="C18" s="31" t="inlineStr">
        <is>
          <t>Online convergence to θ†</t>
        </is>
      </c>
      <c r="D18" s="30" t="inlineStr">
        <is>
          <t>Show the online estimator converges to θ† under misspecification, with the stability constraint n ≤ 1−ε active.</t>
        </is>
      </c>
      <c r="E18" s="30" t="inlineStr">
        <is>
          <t>A convergence theorem (almost sure or in probability) with the active-constraint case handled.</t>
        </is>
      </c>
      <c r="F18" s="29" t="inlineStr">
        <is>
          <t>C6</t>
        </is>
      </c>
      <c r="G18" s="30" t="inlineStr">
        <is>
          <t>P5 Second paper or optional</t>
        </is>
      </c>
      <c r="H18" s="32" t="inlineStr">
        <is>
          <t>Medium</t>
        </is>
      </c>
      <c r="I18" s="32" t="n">
        <v>4</v>
      </c>
      <c r="J18" s="32" t="n">
        <v>3</v>
      </c>
      <c r="K18" s="29" t="inlineStr">
        <is>
          <t>5, 16</t>
        </is>
      </c>
      <c r="L18" s="32" t="inlineStr">
        <is>
          <t>In progress</t>
        </is>
      </c>
      <c r="M18" s="33" t="inlineStr">
        <is>
          <t> 25 Oct 2026. problem17_online_convergence.md; code/p17/ (online17.c, lib17.py, w1,m1,m2,m3,trap,ev). Draft, not independently verified. Theorem 17A [P*]: projected online Newton (Fisher or observed-information preconditioner, exact F-norm projection) converges a.s. to the unique constrained KL pseudo-truth theta-dagger_Theta of Problem 16, active constraint included (ODE method with Markov noise + matrix gain; relies on cited Benveniste-Metivier-Priouret conditions, not re-verified). New exact facts: Lyapunov drift of ||theta-theta-dagger||^2_F is -v'(2Hbar - I_F)v with a favourable-sign multiplier term when the constraint binds; A = I_F^-1 H has eigenvalue exactly 1 at an interior theta-dagger. Theorem 17B/C [P*]: sqrt(n)(theta_n - theta-dagger) -&gt; N(0,Sigma), Lyapunov equation (A-1/2)Sigma+Sigma(A-1/2)'=Lambda* Ibar^-1 J Ibar^-1; with observed-information preconditioner Sigma = Lambda* H^-1 J H^-1 (batch sandwich) with no side condition; active constraint: same in the face subspace, n*dist to face -&gt; const (O(1/n)), projection active in a stable 3% of steps. Numerics (power-law truth n*=0.8, K=2, 600 replicates up to 1e5 events): n*Var matches prediction to 5-14% interior and 1-12% with active constraint (MC ~6%); n*MSE flat (rate 1/n); eigenvalues of I_F^-1 H in [0.97,1.002] in every example so EF=OI; OI corner-trapping found in 1/300 runs when mu_min=1e-3, none for EF or mu_min&gt;=0.1. MISSING for Done: self-contained proof of the Poisson-equation/regularity step, rigorous excursion bound for the distance to the face, degenerate (no strict complementarity) case, regret statement (Prop 17.4 is a conjecture), K&gt;2.</t>
        </is>
      </c>
    </row>
    <row r="19" ht="46.5" customHeight="1" s="27">
      <c r="A19" s="29" t="n">
        <v>18</v>
      </c>
      <c r="B19" s="30" t="inlineStr">
        <is>
          <t>E. Misspecification</t>
        </is>
      </c>
      <c r="C19" s="31" t="inlineStr">
        <is>
          <t>Bias of n(θ†) versus K</t>
        </is>
      </c>
      <c r="D19" s="30" t="inlineStr">
        <is>
          <t>For a power-law truth on a geometric β-grid, give an explicit rate for the bias of n(θ†) as K grows. This is a rational-approximation problem for a completely monotone kernel with a branch point.</t>
        </is>
      </c>
      <c r="E19" s="30" t="inlineStr">
        <is>
          <t>An explicit rate (or a numerically supported conjecture) for the bias as a function of K and grid ratio.</t>
        </is>
      </c>
      <c r="F19" s="29" t="inlineStr">
        <is>
          <t>C6</t>
        </is>
      </c>
      <c r="G19" s="30" t="inlineStr">
        <is>
          <t>P5 Second paper or optional</t>
        </is>
      </c>
      <c r="H19" s="32" t="inlineStr">
        <is>
          <t>Low</t>
        </is>
      </c>
      <c r="I19" s="32" t="n">
        <v>4</v>
      </c>
      <c r="J19" s="32" t="n">
        <v>3</v>
      </c>
      <c r="K19" s="29" t="inlineStr">
        <is>
          <t>16</t>
        </is>
      </c>
      <c r="L19" s="32" t="inlineStr">
        <is>
          <t>Done</t>
        </is>
      </c>
      <c r="M19" s="33" t="inlineStr">
        <is>
          <t> 25 Oct 2026. problem18_bias_vs_K.md; code/p18/ (fd18.py, e2..e8.py). Draft, not independently verified. PROVED reductions: (i) n*-n-dagger = (mu-dagger - mu*)/Lambda* (rate matching, Problem 16); (ii) the surrogate pseudo-truth is the weighted L2 pole approximant of G(s)=int nu/(beta+s) on the imaginary axis with weight Lambda*/|1-G|^2 (Hawkes spectrum), so the bias is the DC value of the approximation error and can be computed deterministically for any K (matches the simulations of Problem 16 to 0.004). CONJECTURE 18.4 (numerically supported): b_K = kappa(eta,r) * n* (tau beta_1)^eta / Gamma(1+eta), beta_1 = beta_top r^-(K-1), i.e. geometric decay in K at rate eta*ln r; kappa ~0.43 at eta=1/2 (0.7 at eta=0.15), independent of n* and of criticality; exponent confirmed over 3 decades of beta_1 (ratios 0.32 per decade vs 10^-0.5); fixed range saturates at the truncation floor kappa*n_low(beta_min). Also: coarse grids overshoot (bias changes sign; best ratio for fixed K: r~17 at K=4, 8 at K=6, 6 at K=8); KL and surrogate biases agree within ~0.002 for K&gt;=3. NOT proved: the exponent eta and kappa&gt;0 (Wiener-Hopf/Newman-Stahl type problem for a geometric pole ladder), the discretization-floor law ~exp(-pi^2/ln r), general nu beyond the gamma form.</t>
        </is>
      </c>
    </row>
    <row r="20" ht="46.5" customHeight="1" s="27">
      <c r="A20" s="29" t="n">
        <v>19</v>
      </c>
      <c r="B20" s="30" t="inlineStr">
        <is>
          <t>F. Validation</t>
        </is>
      </c>
      <c r="C20" s="31" t="inlineStr">
        <is>
          <t>Simulation study</t>
        </is>
      </c>
      <c r="D20" s="30" t="inlineStr">
        <is>
          <t>Simulate with Ogata thinning using known (μ, α, β). Sweep ε and T and check that regret and error follow the predicted scalings, including the burn-in.</t>
        </is>
      </c>
      <c r="E20" s="30" t="inlineStr">
        <is>
          <t>Plots of error and regret versus T for several ε, with fitted slopes compared with theory.</t>
        </is>
      </c>
      <c r="F20" s="29" t="inlineStr">
        <is>
          <t>All</t>
        </is>
      </c>
      <c r="G20" s="30" t="inlineStr">
        <is>
          <t>P3 Lower bound and simulation</t>
        </is>
      </c>
      <c r="H20" s="32" t="inlineStr">
        <is>
          <t>High</t>
        </is>
      </c>
      <c r="I20" s="32" t="n">
        <v>2</v>
      </c>
      <c r="J20" s="32" t="n">
        <v>2</v>
      </c>
      <c r="K20" s="29" t="inlineStr">
        <is>
          <t>5</t>
        </is>
      </c>
      <c r="L20" s="32" t="inlineStr">
        <is>
          <t>Done</t>
        </is>
      </c>
      <c r="M20" s="33" t="inlineStr">
        <is>
          <t> 25 Oct 2026. PARTIAL: the simulation scripts exist and have been run (code/p5_*.py regret slopes: E R_n - ln T flat in eps, slope ~0.9 vs d/2 = 1 for K=1, ~1.3 vs 1.5 for K=2; code/p14_*.py tracking; code/p11_obs_info.py observed information; code/p13*.py from the other session), with tables in the notes. MISSING for Done: plots of error and regret versus T for several eps with fitted slopes compared with theory (no figures have been produced; the numbers are in tables only). 25 Oct 2026 (later), problem19_simulation_study.md; figures/p19_*.png (5 figures); code/p19_sim.cs, p19_run.sh, p19_analyze.py, p19_thinning_check.py, p19_summary.txt. DONE: raw per-replicate runs (Ogata thinning, known mu, alpha, beta; ~1e9 events) for K=1 eps 0.3/0.1/0.03/0.01 (near and far start) and K=2 eps 0.3/0.1/0.03; sampler validated by time-rescaling (KS p 0.79-0.99). FITS (95% bootstrap CI): regret slope vs ln T contains d/2 in 10/10 runs (K=1: 0.95,0.96,1.10,1.08; K=2: 1.44,1.57,1.41 vs 1.5); raw MSE log-log slope -1 (inside for T eps &gt;= 700) and MSE*T/(I^-1)_jj = 1+-0.25; whitened error covariance eigenvalues ~(1,1), v'(TI)v ~ chi2_2; E D_n = 1.85-2.17 (d=2), 2.9-3.2 (d=3); burn-in T_exit ~ 1/eps, fits information form 1.4 max_j (I^-1)_jj/(delta theta_j)^2 within 0.85-1.23 for all 10 runs (K=2: middle tier binds); far-start excess matches (P0far-P0near)/2 (10.66+-2.06 vs 10.05 at eps=0.01). LIMITS: clip not exact F-projection; eps=0.01 only T eps=180 (not asymptotic: error slopes -1.6/-1.3, constant drift +0.8); K=3 and k0&lt;=1 not run here; slope CIs ~ +-0.13 (K=1), +-0.2 (K=2). Real-data and baselines are Problems 20 and 21.</t>
        </is>
      </c>
    </row>
    <row r="21" ht="60" customHeight="1" s="27">
      <c r="A21" s="29" t="n">
        <v>20</v>
      </c>
      <c r="B21" s="30" t="inlineStr">
        <is>
          <t>F. Validation</t>
        </is>
      </c>
      <c r="C21" s="31" t="inlineStr">
        <is>
          <t>Real-data check</t>
        </is>
      </c>
      <c r="D21" s="30" t="inlineStr">
        <is>
          <t>Test on NSE or Bank Nifty tick or order-flow data. Fit the dictionary, report the estimated n, show the effect of misspecification, and show tracking behaviour across regime changes. Needs access to suitable tick data.</t>
        </is>
      </c>
      <c r="E21" s="30" t="inlineStr">
        <is>
          <t>A figure of n̂(t) over a trading period, with a comment on regime shifts and on bias relative to a batch fit.</t>
        </is>
      </c>
      <c r="F21" s="29" t="inlineStr">
        <is>
          <t>All</t>
        </is>
      </c>
      <c r="G21" s="30" t="inlineStr">
        <is>
          <t>P4 Stretch and validation</t>
        </is>
      </c>
      <c r="H21" s="32" t="inlineStr">
        <is>
          <t>Medium</t>
        </is>
      </c>
      <c r="I21" s="32" t="n">
        <v>3</v>
      </c>
      <c r="J21" s="32" t="n">
        <v>3</v>
      </c>
      <c r="K21" s="29" t="inlineStr">
        <is>
          <t>19</t>
        </is>
      </c>
      <c r="L21" s="32" t="inlineStr">
        <is>
          <t>Not started</t>
        </is>
      </c>
      <c r="M21" s="33" t="n"/>
    </row>
    <row r="22" ht="46.5" customHeight="1" s="27">
      <c r="A22" s="29" t="n">
        <v>21</v>
      </c>
      <c r="B22" s="30" t="inlineStr">
        <is>
          <t>F. Validation</t>
        </is>
      </c>
      <c r="C22" s="31" t="inlineStr">
        <is>
          <t>Baselines to beat</t>
        </is>
      </c>
      <c r="D22" s="30" t="inlineStr">
        <is>
          <t>Implement batch MLE, Hall–Willett mirror descent and Solo's fixed-gain estimator, and compare accuracy and per-event cost with your method.</t>
        </is>
      </c>
      <c r="E22" s="30" t="inlineStr">
        <is>
          <t>A comparison table of error and runtime on the same simulated and real datasets.</t>
        </is>
      </c>
      <c r="F22" s="29" t="inlineStr">
        <is>
          <t>All</t>
        </is>
      </c>
      <c r="G22" s="30" t="inlineStr">
        <is>
          <t>P4 Stretch and validation</t>
        </is>
      </c>
      <c r="H22" s="32" t="inlineStr">
        <is>
          <t>Medium</t>
        </is>
      </c>
      <c r="I22" s="32" t="n">
        <v>2</v>
      </c>
      <c r="J22" s="32" t="n">
        <v>2</v>
      </c>
      <c r="K22" s="29" t="inlineStr">
        <is>
          <t>19</t>
        </is>
      </c>
      <c r="L22" s="32" t="inlineStr">
        <is>
          <t>In progress</t>
        </is>
      </c>
      <c r="M22" s="33" t="inlineStr">
        <is>
          <t> 25 Oct 2026, problem21_baselines.md; code/p21_baselines.cs, p21_run.sh, p21_analyze.py, p21_summary.txt; figures/p21_*.png. SIMULATED HALF DONE: batch MLE (constrained, same box), Hall-Willett-type mirror descent (log mirror map on theta, const / 1/sqrt(i) / 1/i steps, 6 step sizes) and Solo-type fixed-gain EWLS (rho = 1, 1-1/2000, 1-1/200), all on identical paths (K=1 eps 0.3/0.1/0.03, K=2 eps 0.1), error + regret + CPU. RESULTS at n=1e5: ours e_n = batch MLE to 0.01-0.02 (1.78/1.80, 2.16/2.15, 1.86/1.87, K=2 4.08/4.09; target d); ours better than batch at small n (n=95: 0.83 vs 4.50). Solo-type rho=1 inefficient by the predicted factor tr(I B^-1 C B^-1)/d = 1.22/1.50/1.75/1.38 (predicted 2.45/2.99/3.50/4.15, measured 2.48/3.66/3.08/4.92), fixed gain has non-vanishing error (e_n ~ n, linear regret). HW-type with eta0 tuned on the truth is 4.5-28x above d (no curvature, condition number ~ eps^-2); default step diverges. COST: ours 1.6 us/event (K=1), 2.3 (K=2), constant; mirror descent 0.08/0.10; EWLS 0.42/0.59; batch refit 0.33-0.4 us per data event per refit (linear in n), keeping batch current after every event ~ 1.1-1.3e4 us/event at n=2e5 (6000-7000x ours). CAVEATS: HW and Solo are adaptations (HW designed for intensity tracking with sqrt T regret, Solo read as abstract only; fixed gain is a feature for tracking, not static estimation). MISSING for Done: real-data comparison (needs tick data, Problem 20); protocol fixed (same stream, same box, distance to full-sample MLE and held-out log-loss replace e_n).</t>
        </is>
      </c>
    </row>
    <row r="23" ht="46.5" customHeight="1" s="27">
      <c r="A23" s="29" t="n">
        <v>22</v>
      </c>
      <c r="B23" s="30" t="inlineStr">
        <is>
          <t>G. Literature</t>
        </is>
      </c>
      <c r="C23" s="31" t="inlineStr">
        <is>
          <t>Read the core papers and write 'difference from' statements</t>
        </is>
      </c>
      <c r="D23" s="30" t="inlineStr">
        <is>
          <t>Read the papers listed on the Literature sheet in the suggested order and, for each, write one paragraph on how your result differs from theirs.</t>
        </is>
      </c>
      <c r="E23" s="30" t="inlineStr">
        <is>
          <t>A related-work section draft with one 'difference from' paragraph per paper.</t>
        </is>
      </c>
      <c r="F23" s="29" t="inlineStr">
        <is>
          <t>All</t>
        </is>
      </c>
      <c r="G23" s="30" t="inlineStr">
        <is>
          <t>P0 Parallel</t>
        </is>
      </c>
      <c r="H23" s="32" t="inlineStr">
        <is>
          <t>High</t>
        </is>
      </c>
      <c r="I23" s="32" t="n">
        <v>2</v>
      </c>
      <c r="J23" s="32" t="n">
        <v>2</v>
      </c>
      <c r="K23" s="29" t="n"/>
      <c r="L23" s="32" t="inlineStr">
        <is>
          <t>Done</t>
        </is>
      </c>
      <c r="M23" s="33" t="inlineStr">
        <is>
          <t> 25 Oct 2026. PARTIAL: literature_crosscheck.md, literature_search_report.md, novelty_reassessment.md (Herrera-Marin I/II, Jaisson-Rosenbaum, CIR drift papers, Hall-Willett, Yang et al., Piggott-Solo abstract only, Anne-Lu-Yu-Zhou 2026) with overlap-risk updates on the Literature sheet. MISSING for Done: 'difference from' statements for each core paper written as final text, and full-text reading of Piggott-Solo (closed access). 25 Oct 2026 (second pass). literature_difference_statements.md: one 'difference from' paragraph for each core paper (Herrera-Marin I and II, Hall-Willett, Yang et al., Piggott-Solo + Pasha-Solo) and for the papers that bear on Problems 16-18 (Rong-Nair 2602.20795, Wei-Zhu-Zhang-Xie 2006.09439, Spreij 1986/1991), plus a related-work draft. Each paragraph states its access level. KEY FINDINGS: the generic KL pseudo-truth/sandwich content of Problem 16 is anticipated in batch form by Wei et al. 2021; the LS pseudo-truth and a CLT without mixing by Rong-Nair 2026 (possible overlap with Prop 18.2); well-specified recursive estimation by Spreij. STILL MISSING: full texts of Piggott-Solo and Pasha-Solo (abstract only), Spreij scans (image-only, not OCRed), Herrera-Marin II Thm 3.1, end of Rong-Nair. Statement text should be rechecked against those before submission.</t>
        </is>
      </c>
    </row>
    <row r="24" ht="60" customHeight="1" s="27">
      <c r="A24" s="29" t="n">
        <v>23</v>
      </c>
      <c r="B24" s="30" t="inlineStr">
        <is>
          <t>G. Literature</t>
        </is>
      </c>
      <c r="C24" s="31" t="inlineStr">
        <is>
          <t>Check the items not verified</t>
        </is>
      </c>
      <c r="D24" s="30" t="inlineStr">
        <is>
          <t>Check Zhang 2023 and Wang 2023 online or sequential estimators, online EM for Hawkes (Lemonnier–Vayatis, Zhou–Zha–Song), Bacry–Muzy–Delattre–Hoffmann, and the citation trees of Yang et al. (2017) and Hall–Willett (2016).</t>
        </is>
      </c>
      <c r="E24" s="30" t="inlineStr">
        <is>
          <t>A list of anything that anticipates your results, and an update of the overlap-risk column on the Literature sheet.</t>
        </is>
      </c>
      <c r="F24" s="29" t="inlineStr">
        <is>
          <t>All</t>
        </is>
      </c>
      <c r="G24" s="30" t="inlineStr">
        <is>
          <t>P0 Parallel</t>
        </is>
      </c>
      <c r="H24" s="32" t="inlineStr">
        <is>
          <t>Medium</t>
        </is>
      </c>
      <c r="I24" s="32" t="n">
        <v>2</v>
      </c>
      <c r="J24" s="32" t="n">
        <v>1.5</v>
      </c>
      <c r="K24" s="29" t="n"/>
      <c r="L24" s="32" t="inlineStr">
        <is>
          <t>Done</t>
        </is>
      </c>
      <c r="M24" s="33" t="inlineStr">
        <is>
          <t> 25 Oct 2026. literature_unverified_items.md. Searched/fetched all listed items. Zhang 2023: no matching paper found (identity unresolved). Wang 2023 = Technometrics online CUSUM change-point detector (not an estimator). Online EM for Hawkes: none found; Zhou-Zha-Song is batch ADMM; Lemonnier-Vayatis attribution unconfirmed. Cartea-Cohen-Labyad: batch LS gradient sampling, no regret. Bacry et al.: no misspecification paper located. Citation trees screened by titles (Hall-Willett via Semantic Scholar: 64; Yang et al. via OpenAlex: 26; a second Semantic Scholar query hit HTTP 429). Found beyond the list: Wei-Zhu-Zhang-Xie AISTATS 2021 (KL pseudo-truth, QMLE sandwich), Rong-Nair 2026 (LS pseudo-truth, CLT), Spreij 1986/1991 (recursive estimators for counting processes), Pasha-Solo CDC 2019 (fixed-gain), Lima 2021 (eps-margin stabilisation). Overlap-risk column updated. UNRESOLVED: Zhang 2023, online EM, full texts of Spreij/Solo papers.</t>
        </is>
      </c>
    </row>
  </sheetData>
  <autoFilter ref="A1:M24"/>
  <conditionalFormatting sqref="L2:L24">
    <cfRule type="cellIs" rank="0" priority="2" equalAverage="0" operator="equal" aboveAverage="0" dxfId="5" text="" percent="0" bottom="0">
      <formula>"Done"</formula>
    </cfRule>
    <cfRule type="cellIs" rank="0" priority="3" equalAverage="0" operator="equal" aboveAverage="0" dxfId="6" text="" percent="0" bottom="0">
      <formula>"In progress"</formula>
    </cfRule>
    <cfRule type="cellIs" rank="0" priority="4" equalAverage="0" operator="equal" aboveAverage="0" dxfId="7" text="" percent="0" bottom="0">
      <formula>"Blocked"</formula>
    </cfRule>
  </conditionalFormatting>
  <conditionalFormatting sqref="H2:H24">
    <cfRule type="cellIs" rank="0" priority="5" equalAverage="0" operator="equal" aboveAverage="0" dxfId="8" text="" percent="0" bottom="0">
      <formula>"Critical"</formula>
    </cfRule>
  </conditionalFormatting>
  <dataValidations count="3">
    <dataValidation sqref="L2:L24" showDropDown="0" showInputMessage="0" showErrorMessage="0" allowBlank="0" type="list" errorStyle="stop" operator="between">
      <formula1>"Not started,In progress,Blocked,Done"</formula1>
      <formula2>0</formula2>
    </dataValidation>
    <dataValidation sqref="H2:H24" showDropDown="0" showInputMessage="0" showErrorMessage="0" allowBlank="0" type="list" errorStyle="stop" operator="between">
      <formula1>"Critical,High,Medium,Low"</formula1>
      <formula2>0</formula2>
    </dataValidation>
    <dataValidation sqref="I2:I24" showDropDown="0" showInputMessage="0" showErrorMessage="0" allowBlank="0"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864"/>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6" min="1" max="1"/>
    <col width="12" customWidth="1" style="26" min="2" max="3"/>
    <col width="10" customWidth="1" style="26" min="4" max="6"/>
  </cols>
  <sheetData>
    <row r="1" ht="17.35" customHeight="1" s="27">
      <c r="A1" s="34" t="inlineStr">
        <is>
          <t>Research problem tracker: summary</t>
        </is>
      </c>
    </row>
    <row r="2" ht="15" customHeight="1" s="27">
      <c r="A2" s="35" t="inlineStr">
        <is>
          <t>All figures below are formulas driven by the Problems sheet. Change Status, Priority or Est. weeks there and this sheet updates.</t>
        </is>
      </c>
    </row>
    <row r="4" ht="15" customHeight="1" s="27">
      <c r="A4" s="36" t="inlineStr">
        <is>
          <t>Overall</t>
        </is>
      </c>
    </row>
    <row r="5" ht="15" customHeight="1" s="27">
      <c r="A5" s="30" t="inlineStr">
        <is>
          <t>Total problems</t>
        </is>
      </c>
      <c r="B5" s="37">
        <f>COUNTA(Problems!$A$2:$A$24)</f>
        <v/>
      </c>
    </row>
    <row r="6" ht="15" customHeight="1" s="27">
      <c r="A6" s="30" t="inlineStr">
        <is>
          <t>Total estimated weeks</t>
        </is>
      </c>
      <c r="B6" s="38">
        <f>SUM(Problems!$J$2:$J$24)</f>
        <v/>
      </c>
    </row>
    <row r="7" ht="15" customHeight="1" s="27">
      <c r="A7" s="30" t="inlineStr">
        <is>
          <t>Weeks completed (Status = Done)</t>
        </is>
      </c>
      <c r="B7" s="38">
        <f>SUMIFS(Problems!$J$2:$J$24,Problems!$L$2:$L$24,"Done")</f>
        <v/>
      </c>
    </row>
    <row r="8" ht="15" customHeight="1" s="27">
      <c r="A8" s="30" t="inlineStr">
        <is>
          <t>Percent complete (weighted by weeks)</t>
        </is>
      </c>
      <c r="B8" s="39">
        <f>IFERROR(B7/B6,0)</f>
        <v/>
      </c>
    </row>
    <row r="9" ht="15" customHeight="1" s="27">
      <c r="A9" s="30" t="inlineStr">
        <is>
          <t>Critical-priority problems still open</t>
        </is>
      </c>
      <c r="B9" s="37">
        <f>COUNTIFS(Problems!$H$2:$H$24,"Critical",Problems!$L$2:$L$24,"&lt;&gt;Done")</f>
        <v/>
      </c>
    </row>
    <row r="11" ht="15" customHeight="1" s="27">
      <c r="A11" s="28" t="inlineStr">
        <is>
          <t>Status</t>
        </is>
      </c>
      <c r="B11" s="28" t="inlineStr">
        <is>
          <t>Problems</t>
        </is>
      </c>
      <c r="C11" s="28" t="inlineStr">
        <is>
          <t>Est. weeks</t>
        </is>
      </c>
    </row>
    <row r="12" ht="15" customHeight="1" s="27">
      <c r="A12" s="30" t="inlineStr">
        <is>
          <t>Not started</t>
        </is>
      </c>
      <c r="B12" s="37">
        <f>COUNTIF(Problems!$L$2:$L$24,A12)</f>
        <v/>
      </c>
      <c r="C12" s="38">
        <f>SUMIFS(Problems!$J$2:$J$24,Problems!$L$2:$L$24,A12)</f>
        <v/>
      </c>
    </row>
    <row r="13" ht="15" customHeight="1" s="27">
      <c r="A13" s="30" t="inlineStr">
        <is>
          <t>In progress</t>
        </is>
      </c>
      <c r="B13" s="37">
        <f>COUNTIF(Problems!$L$2:$L$24,A13)</f>
        <v/>
      </c>
      <c r="C13" s="38">
        <f>SUMIFS(Problems!$J$2:$J$24,Problems!$L$2:$L$24,A13)</f>
        <v/>
      </c>
    </row>
    <row r="14" ht="15" customHeight="1" s="27">
      <c r="A14" s="30" t="inlineStr">
        <is>
          <t>Blocked</t>
        </is>
      </c>
      <c r="B14" s="37">
        <f>COUNTIF(Problems!$L$2:$L$24,A14)</f>
        <v/>
      </c>
      <c r="C14" s="38">
        <f>SUMIFS(Problems!$J$2:$J$24,Problems!$L$2:$L$24,A14)</f>
        <v/>
      </c>
    </row>
    <row r="15" ht="15" customHeight="1" s="27">
      <c r="A15" s="30" t="inlineStr">
        <is>
          <t>Done</t>
        </is>
      </c>
      <c r="B15" s="37">
        <f>COUNTIF(Problems!$L$2:$L$24,A15)</f>
        <v/>
      </c>
      <c r="C15" s="38">
        <f>SUMIFS(Problems!$J$2:$J$24,Problems!$L$2:$L$24,A15)</f>
        <v/>
      </c>
    </row>
    <row r="16" ht="15" customHeight="1" s="27">
      <c r="A16" s="31" t="inlineStr">
        <is>
          <t>Total</t>
        </is>
      </c>
      <c r="B16" s="40">
        <f>SUM(B12:B15)</f>
        <v/>
      </c>
      <c r="C16" s="41">
        <f>SUM(C12:C15)</f>
        <v/>
      </c>
    </row>
    <row r="18" ht="15" customHeight="1" s="27">
      <c r="A18" s="28" t="inlineStr">
        <is>
          <t>Section</t>
        </is>
      </c>
      <c r="B18" s="28" t="inlineStr">
        <is>
          <t>Problems</t>
        </is>
      </c>
      <c r="C18" s="28" t="inlineStr">
        <is>
          <t>Est. weeks</t>
        </is>
      </c>
      <c r="D18" s="28" t="inlineStr">
        <is>
          <t>Done</t>
        </is>
      </c>
    </row>
    <row r="19" ht="15" customHeight="1" s="27">
      <c r="A19" s="30" t="inlineStr">
        <is>
          <t>A. Foundations</t>
        </is>
      </c>
      <c r="B19" s="37">
        <f>COUNTIF(Problems!$B$2:$B$24,A19)</f>
        <v/>
      </c>
      <c r="C19" s="38">
        <f>SUMIFS(Problems!$J$2:$J$24,Problems!$B$2:$B$24,A19)</f>
        <v/>
      </c>
      <c r="D19" s="37">
        <f>COUNTIFS(Problems!$B$2:$B$24,A19,Problems!$L$2:$L$24,"Done")</f>
        <v/>
      </c>
    </row>
    <row r="20" ht="15" customHeight="1" s="27">
      <c r="A20" s="30" t="inlineStr">
        <is>
          <t>B. Upper bound</t>
        </is>
      </c>
      <c r="B20" s="37">
        <f>COUNTIF(Problems!$B$2:$B$24,A20)</f>
        <v/>
      </c>
      <c r="C20" s="38">
        <f>SUMIFS(Problems!$J$2:$J$24,Problems!$B$2:$B$24,A20)</f>
        <v/>
      </c>
      <c r="D20" s="37">
        <f>COUNTIFS(Problems!$B$2:$B$24,A20,Problems!$L$2:$L$24,"Done")</f>
        <v/>
      </c>
    </row>
    <row r="21" ht="15" customHeight="1" s="27">
      <c r="A21" s="30" t="inlineStr">
        <is>
          <t>C. Lower bound and information limits</t>
        </is>
      </c>
      <c r="B21" s="37">
        <f>COUNTIF(Problems!$B$2:$B$24,A21)</f>
        <v/>
      </c>
      <c r="C21" s="38">
        <f>SUMIFS(Problems!$J$2:$J$24,Problems!$B$2:$B$24,A21)</f>
        <v/>
      </c>
      <c r="D21" s="37">
        <f>COUNTIFS(Problems!$B$2:$B$24,A21,Problems!$L$2:$L$24,"Done")</f>
        <v/>
      </c>
    </row>
    <row r="22" ht="15" customHeight="1" s="27">
      <c r="A22" s="30" t="inlineStr">
        <is>
          <t>D. Drift tracking</t>
        </is>
      </c>
      <c r="B22" s="37">
        <f>COUNTIF(Problems!$B$2:$B$24,A22)</f>
        <v/>
      </c>
      <c r="C22" s="38">
        <f>SUMIFS(Problems!$J$2:$J$24,Problems!$B$2:$B$24,A22)</f>
        <v/>
      </c>
      <c r="D22" s="37">
        <f>COUNTIFS(Problems!$B$2:$B$24,A22,Problems!$L$2:$L$24,"Done")</f>
        <v/>
      </c>
    </row>
    <row r="23" ht="15" customHeight="1" s="27">
      <c r="A23" s="30" t="inlineStr">
        <is>
          <t>E. Misspecification</t>
        </is>
      </c>
      <c r="B23" s="37">
        <f>COUNTIF(Problems!$B$2:$B$24,A23)</f>
        <v/>
      </c>
      <c r="C23" s="38">
        <f>SUMIFS(Problems!$J$2:$J$24,Problems!$B$2:$B$24,A23)</f>
        <v/>
      </c>
      <c r="D23" s="37">
        <f>COUNTIFS(Problems!$B$2:$B$24,A23,Problems!$L$2:$L$24,"Done")</f>
        <v/>
      </c>
    </row>
    <row r="24" ht="15" customHeight="1" s="27">
      <c r="A24" s="30" t="inlineStr">
        <is>
          <t>F. Validation</t>
        </is>
      </c>
      <c r="B24" s="37">
        <f>COUNTIF(Problems!$B$2:$B$24,A24)</f>
        <v/>
      </c>
      <c r="C24" s="38">
        <f>SUMIFS(Problems!$J$2:$J$24,Problems!$B$2:$B$24,A24)</f>
        <v/>
      </c>
      <c r="D24" s="37">
        <f>COUNTIFS(Problems!$B$2:$B$24,A24,Problems!$L$2:$L$24,"Done")</f>
        <v/>
      </c>
    </row>
    <row r="25" ht="15" customHeight="1" s="27">
      <c r="A25" s="30" t="inlineStr">
        <is>
          <t>G. Literature</t>
        </is>
      </c>
      <c r="B25" s="37">
        <f>COUNTIF(Problems!$B$2:$B$24,A25)</f>
        <v/>
      </c>
      <c r="C25" s="38">
        <f>SUMIFS(Problems!$J$2:$J$24,Problems!$B$2:$B$24,A25)</f>
        <v/>
      </c>
      <c r="D25" s="37">
        <f>COUNTIFS(Problems!$B$2:$B$24,A25,Problems!$L$2:$L$24,"Done")</f>
        <v/>
      </c>
    </row>
    <row r="26" ht="15" customHeight="1" s="27">
      <c r="A26" s="31" t="inlineStr">
        <is>
          <t>Total</t>
        </is>
      </c>
      <c r="B26" s="40">
        <f>SUM(B19:B25)</f>
        <v/>
      </c>
      <c r="C26" s="41">
        <f>SUM(C19:C25)</f>
        <v/>
      </c>
      <c r="D26" s="40">
        <f>SUM(D19:D25)</f>
        <v/>
      </c>
    </row>
    <row r="28" ht="15" customHeight="1" s="27">
      <c r="A28" s="28" t="inlineStr">
        <is>
          <t>Priority</t>
        </is>
      </c>
      <c r="B28" s="28" t="inlineStr">
        <is>
          <t>Problems</t>
        </is>
      </c>
      <c r="C28" s="28" t="inlineStr">
        <is>
          <t>Est. weeks</t>
        </is>
      </c>
      <c r="D28" s="28" t="inlineStr">
        <is>
          <t>Done</t>
        </is>
      </c>
    </row>
    <row r="29" ht="15" customHeight="1" s="27">
      <c r="A29" s="30" t="inlineStr">
        <is>
          <t>Critical</t>
        </is>
      </c>
      <c r="B29" s="37">
        <f>COUNTIF(Problems!$H$2:$H$24,A29)</f>
        <v/>
      </c>
      <c r="C29" s="38">
        <f>SUMIFS(Problems!$J$2:$J$24,Problems!$H$2:$H$24,A29)</f>
        <v/>
      </c>
      <c r="D29" s="37">
        <f>COUNTIFS(Problems!$H$2:$H$24,A29,Problems!$L$2:$L$24,"Done")</f>
        <v/>
      </c>
    </row>
    <row r="30" ht="15" customHeight="1" s="27">
      <c r="A30" s="30" t="inlineStr">
        <is>
          <t>High</t>
        </is>
      </c>
      <c r="B30" s="37">
        <f>COUNTIF(Problems!$H$2:$H$24,A30)</f>
        <v/>
      </c>
      <c r="C30" s="38">
        <f>SUMIFS(Problems!$J$2:$J$24,Problems!$H$2:$H$24,A30)</f>
        <v/>
      </c>
      <c r="D30" s="37">
        <f>COUNTIFS(Problems!$H$2:$H$24,A30,Problems!$L$2:$L$24,"Done")</f>
        <v/>
      </c>
    </row>
    <row r="31" ht="15" customHeight="1" s="27">
      <c r="A31" s="30" t="inlineStr">
        <is>
          <t>Medium</t>
        </is>
      </c>
      <c r="B31" s="37">
        <f>COUNTIF(Problems!$H$2:$H$24,A31)</f>
        <v/>
      </c>
      <c r="C31" s="38">
        <f>SUMIFS(Problems!$J$2:$J$24,Problems!$H$2:$H$24,A31)</f>
        <v/>
      </c>
      <c r="D31" s="37">
        <f>COUNTIFS(Problems!$H$2:$H$24,A31,Problems!$L$2:$L$24,"Done")</f>
        <v/>
      </c>
    </row>
    <row r="32" ht="15" customHeight="1" s="27">
      <c r="A32" s="30" t="inlineStr">
        <is>
          <t>Low</t>
        </is>
      </c>
      <c r="B32" s="37">
        <f>COUNTIF(Problems!$H$2:$H$24,A32)</f>
        <v/>
      </c>
      <c r="C32" s="38">
        <f>SUMIFS(Problems!$J$2:$J$24,Problems!$H$2:$H$24,A32)</f>
        <v/>
      </c>
      <c r="D32" s="37">
        <f>COUNTIFS(Problems!$H$2:$H$24,A32,Problems!$L$2:$L$24,"Done")</f>
        <v/>
      </c>
    </row>
    <row r="34" ht="39.75" customHeight="1" s="27">
      <c r="A34" s="42" t="inlineStr">
        <is>
          <t>Estimates of difficulty, priority and weeks are my judgement for a single researcher working sequentially, not measured data. Edit them on the Problems sheet. Weeks are summed, so the total is not a critical-path estimate.</t>
        </is>
      </c>
    </row>
  </sheetData>
  <mergeCells count="1">
    <mergeCell ref="A34:F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1F3864"/>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58" customWidth="1" style="26" min="2" max="2"/>
    <col width="54" customWidth="1" style="26" min="3" max="3"/>
    <col width="11" customWidth="1" style="26" min="4" max="5"/>
    <col width="13" customWidth="1" style="26" min="6" max="6"/>
  </cols>
  <sheetData>
    <row r="1" ht="17.35" customHeight="1" s="27">
      <c r="A1" s="34" t="inlineStr">
        <is>
          <t>Suggested order of work</t>
        </is>
      </c>
    </row>
    <row r="2" ht="15" customHeight="1" s="27">
      <c r="A2" s="35" t="inlineStr">
        <is>
          <t>Phase totals pull from the Problems sheet. Item lists show the suggested working order inside each phase.</t>
        </is>
      </c>
    </row>
    <row r="4" ht="15" customHeight="1" s="27">
      <c r="A4" s="28" t="inlineStr">
        <is>
          <t>Phase</t>
        </is>
      </c>
      <c r="B4" s="28" t="inlineStr">
        <is>
          <t>What this phase is for</t>
        </is>
      </c>
      <c r="C4" s="28" t="inlineStr">
        <is>
          <t>Suggested order (IDs)</t>
        </is>
      </c>
      <c r="D4" s="28" t="inlineStr">
        <is>
          <t>Problems</t>
        </is>
      </c>
      <c r="E4" s="28" t="inlineStr">
        <is>
          <t>Est. weeks</t>
        </is>
      </c>
      <c r="F4" s="28" t="inlineStr">
        <is>
          <t>Done</t>
        </is>
      </c>
    </row>
    <row r="5" ht="30" customHeight="1" s="27">
      <c r="A5" s="31" t="inlineStr">
        <is>
          <t>P0 Parallel</t>
        </is>
      </c>
      <c r="B5" s="30" t="inlineStr">
        <is>
          <t>Literature work, run alongside everything else.</t>
        </is>
      </c>
      <c r="C5" s="30" t="inlineStr">
        <is>
          <t>22, 23</t>
        </is>
      </c>
      <c r="D5" s="43">
        <f>COUNTIF(Problems!$G$2:$G$24,A5)</f>
        <v/>
      </c>
      <c r="E5" s="44">
        <f>SUMIFS(Problems!$J$2:$J$24,Problems!$G$2:$G$24,A5)</f>
        <v/>
      </c>
      <c r="F5" s="43">
        <f>COUNTIFS(Problems!$G$2:$G$24,A5,Problems!$L$2:$L$24,"Done")</f>
        <v/>
      </c>
    </row>
    <row r="6" ht="46.5" customHeight="1" s="27">
      <c r="A6" s="31" t="inlineStr">
        <is>
          <t>P1 Core feasibility</t>
        </is>
      </c>
      <c r="B6" s="30" t="inlineStr">
        <is>
          <t>Order: 10, then 1, then 3, then 5. If K = 1 Fisher information is tractable and the stochastic analysis closes, you have the core of a paper.</t>
        </is>
      </c>
      <c r="C6" s="30" t="inlineStr">
        <is>
          <t>10, 1, 3, 5</t>
        </is>
      </c>
      <c r="D6" s="43">
        <f>COUNTIF(Problems!$G$2:$G$24,A6)</f>
        <v/>
      </c>
      <c r="E6" s="44">
        <f>SUMIFS(Problems!$J$2:$J$24,Problems!$G$2:$G$24,A6)</f>
        <v/>
      </c>
      <c r="F6" s="43">
        <f>COUNTIFS(Problems!$G$2:$G$24,A6,Problems!$L$2:$L$24,"Done")</f>
        <v/>
      </c>
    </row>
    <row r="7" ht="30" customHeight="1" s="27">
      <c r="A7" s="31" t="inlineStr">
        <is>
          <t>P2 Complete upper bound</t>
        </is>
      </c>
      <c r="B7" s="30" t="inlineStr">
        <is>
          <t>Finish the upper bound with explicit ε-dependence.</t>
        </is>
      </c>
      <c r="C7" s="30" t="inlineStr">
        <is>
          <t>7, 8, 6, 2, 4</t>
        </is>
      </c>
      <c r="D7" s="43">
        <f>COUNTIF(Problems!$G$2:$G$24,A7)</f>
        <v/>
      </c>
      <c r="E7" s="44">
        <f>SUMIFS(Problems!$J$2:$J$24,Problems!$G$2:$G$24,A7)</f>
        <v/>
      </c>
      <c r="F7" s="43">
        <f>COUNTIFS(Problems!$G$2:$G$24,A7,Problems!$L$2:$L$24,"Done")</f>
        <v/>
      </c>
    </row>
    <row r="8" ht="33" customHeight="1" s="27">
      <c r="A8" s="31" t="inlineStr">
        <is>
          <t>P3 Lower bound and simulation</t>
        </is>
      </c>
      <c r="B8" s="30" t="inlineStr">
        <is>
          <t>Add the matching lower bound and confirm scalings by simulation.</t>
        </is>
      </c>
      <c r="C8" s="30" t="inlineStr">
        <is>
          <t>9, 12, 19</t>
        </is>
      </c>
      <c r="D8" s="43">
        <f>COUNTIF(Problems!$G$2:$G$24,A8)</f>
        <v/>
      </c>
      <c r="E8" s="44">
        <f>SUMIFS(Problems!$J$2:$J$24,Problems!$G$2:$G$24,A8)</f>
        <v/>
      </c>
      <c r="F8" s="43">
        <f>COUNTIFS(Problems!$G$2:$G$24,A8,Problems!$L$2:$L$24,"Done")</f>
        <v/>
      </c>
    </row>
    <row r="9" ht="33" customHeight="1" s="27">
      <c r="A9" s="31" t="inlineStr">
        <is>
          <t>P4 Stretch and validation</t>
        </is>
      </c>
      <c r="B9" s="30" t="inlineStr">
        <is>
          <t>Item 11 is the stretch goal that makes the paper strong. Add baselines and real data.</t>
        </is>
      </c>
      <c r="C9" s="30" t="inlineStr">
        <is>
          <t>11, 21, 20</t>
        </is>
      </c>
      <c r="D9" s="43">
        <f>COUNTIF(Problems!$G$2:$G$24,A9)</f>
        <v/>
      </c>
      <c r="E9" s="44">
        <f>SUMIFS(Problems!$J$2:$J$24,Problems!$G$2:$G$24,A9)</f>
        <v/>
      </c>
      <c r="F9" s="43">
        <f>COUNTIFS(Problems!$G$2:$G$24,A9,Problems!$L$2:$L$24,"Done")</f>
        <v/>
      </c>
    </row>
    <row r="10" ht="33" customHeight="1" s="27">
      <c r="A10" s="31" t="inlineStr">
        <is>
          <t>P5 Second paper or optional</t>
        </is>
      </c>
      <c r="B10" s="30" t="inlineStr">
        <is>
          <t>Drift tracking and misspecification. Drop to a second paper if time runs short.</t>
        </is>
      </c>
      <c r="C10" s="30" t="inlineStr">
        <is>
          <t>13, 14, 15, 16, 17, 18</t>
        </is>
      </c>
      <c r="D10" s="43">
        <f>COUNTIF(Problems!$G$2:$G$24,A10)</f>
        <v/>
      </c>
      <c r="E10" s="44">
        <f>SUMIFS(Problems!$J$2:$J$24,Problems!$G$2:$G$24,A10)</f>
        <v/>
      </c>
      <c r="F10" s="43">
        <f>COUNTIFS(Problems!$G$2:$G$24,A10,Problems!$L$2:$L$24,"Done")</f>
        <v/>
      </c>
    </row>
    <row r="11" ht="15" customHeight="1" s="27">
      <c r="A11" s="36" t="inlineStr">
        <is>
          <t>Total</t>
        </is>
      </c>
      <c r="D11" s="45">
        <f>SUM(D5:D10)</f>
        <v/>
      </c>
      <c r="E11" s="46">
        <f>SUM(E5:E10)</f>
        <v/>
      </c>
      <c r="F11" s="45">
        <f>SUM(F5:F10)</f>
        <v/>
      </c>
    </row>
    <row r="13" ht="15" customHeight="1" s="27">
      <c r="A13" s="36" t="inlineStr">
        <is>
          <t>Working order, with titles pulled from the Problems sheet</t>
        </is>
      </c>
    </row>
    <row r="14" ht="15" customHeight="1" s="27">
      <c r="A14" s="28" t="inlineStr">
        <is>
          <t>Step</t>
        </is>
      </c>
      <c r="B14" s="28" t="inlineStr">
        <is>
          <t>ID</t>
        </is>
      </c>
      <c r="C14" s="28" t="inlineStr">
        <is>
          <t>Problem</t>
        </is>
      </c>
      <c r="D14" s="28" t="inlineStr">
        <is>
          <t>Priority</t>
        </is>
      </c>
      <c r="E14" s="28" t="inlineStr">
        <is>
          <t>Est. weeks</t>
        </is>
      </c>
      <c r="F14" s="28" t="inlineStr">
        <is>
          <t>Status</t>
        </is>
      </c>
    </row>
    <row r="15" ht="15" customHeight="1" s="27">
      <c r="A15" s="29" t="n">
        <v>1</v>
      </c>
      <c r="B15" s="32" t="n">
        <v>10</v>
      </c>
      <c r="C15" s="47">
        <f>IFERROR(INDEX(Problems!$C$2:$C$24,MATCH($B15,Problems!$A$2:$A$24,0)),"")</f>
        <v/>
      </c>
      <c r="D15" s="48">
        <f>IFERROR(INDEX(Problems!$H$2:$H$24,MATCH($B15,Problems!$A$2:$A$24,0)),"")</f>
        <v/>
      </c>
      <c r="E15" s="49">
        <f>IFERROR(INDEX(Problems!$J$2:$J$24,MATCH($B15,Problems!$A$2:$A$24,0)),"")</f>
        <v/>
      </c>
      <c r="F15" s="48">
        <f>IFERROR(INDEX(Problems!$L$2:$L$24,MATCH($B15,Problems!$A$2:$A$24,0)),"")</f>
        <v/>
      </c>
    </row>
    <row r="16" ht="15" customHeight="1" s="27">
      <c r="A16" s="29" t="n">
        <v>2</v>
      </c>
      <c r="B16" s="32" t="n">
        <v>1</v>
      </c>
      <c r="C16" s="47">
        <f>IFERROR(INDEX(Problems!$C$2:$C$24,MATCH($B16,Problems!$A$2:$A$24,0)),"")</f>
        <v/>
      </c>
      <c r="D16" s="48">
        <f>IFERROR(INDEX(Problems!$H$2:$H$24,MATCH($B16,Problems!$A$2:$A$24,0)),"")</f>
        <v/>
      </c>
      <c r="E16" s="49">
        <f>IFERROR(INDEX(Problems!$J$2:$J$24,MATCH($B16,Problems!$A$2:$A$24,0)),"")</f>
        <v/>
      </c>
      <c r="F16" s="48">
        <f>IFERROR(INDEX(Problems!$L$2:$L$24,MATCH($B16,Problems!$A$2:$A$24,0)),"")</f>
        <v/>
      </c>
    </row>
    <row r="17" ht="15" customHeight="1" s="27">
      <c r="A17" s="29" t="n">
        <v>3</v>
      </c>
      <c r="B17" s="32" t="n">
        <v>3</v>
      </c>
      <c r="C17" s="47">
        <f>IFERROR(INDEX(Problems!$C$2:$C$24,MATCH($B17,Problems!$A$2:$A$24,0)),"")</f>
        <v/>
      </c>
      <c r="D17" s="48">
        <f>IFERROR(INDEX(Problems!$H$2:$H$24,MATCH($B17,Problems!$A$2:$A$24,0)),"")</f>
        <v/>
      </c>
      <c r="E17" s="49">
        <f>IFERROR(INDEX(Problems!$J$2:$J$24,MATCH($B17,Problems!$A$2:$A$24,0)),"")</f>
        <v/>
      </c>
      <c r="F17" s="48">
        <f>IFERROR(INDEX(Problems!$L$2:$L$24,MATCH($B17,Problems!$A$2:$A$24,0)),"")</f>
        <v/>
      </c>
    </row>
    <row r="18" ht="15" customHeight="1" s="27">
      <c r="A18" s="29" t="n">
        <v>4</v>
      </c>
      <c r="B18" s="32" t="n">
        <v>5</v>
      </c>
      <c r="C18" s="47">
        <f>IFERROR(INDEX(Problems!$C$2:$C$24,MATCH($B18,Problems!$A$2:$A$24,0)),"")</f>
        <v/>
      </c>
      <c r="D18" s="48">
        <f>IFERROR(INDEX(Problems!$H$2:$H$24,MATCH($B18,Problems!$A$2:$A$24,0)),"")</f>
        <v/>
      </c>
      <c r="E18" s="49">
        <f>IFERROR(INDEX(Problems!$J$2:$J$24,MATCH($B18,Problems!$A$2:$A$24,0)),"")</f>
        <v/>
      </c>
      <c r="F18" s="48">
        <f>IFERROR(INDEX(Problems!$L$2:$L$24,MATCH($B18,Problems!$A$2:$A$24,0)),"")</f>
        <v/>
      </c>
    </row>
    <row r="19" ht="15" customHeight="1" s="27">
      <c r="A19" s="29" t="n">
        <v>5</v>
      </c>
      <c r="B19" s="32" t="n">
        <v>7</v>
      </c>
      <c r="C19" s="47">
        <f>IFERROR(INDEX(Problems!$C$2:$C$24,MATCH($B19,Problems!$A$2:$A$24,0)),"")</f>
        <v/>
      </c>
      <c r="D19" s="48">
        <f>IFERROR(INDEX(Problems!$H$2:$H$24,MATCH($B19,Problems!$A$2:$A$24,0)),"")</f>
        <v/>
      </c>
      <c r="E19" s="49">
        <f>IFERROR(INDEX(Problems!$J$2:$J$24,MATCH($B19,Problems!$A$2:$A$24,0)),"")</f>
        <v/>
      </c>
      <c r="F19" s="48">
        <f>IFERROR(INDEX(Problems!$L$2:$L$24,MATCH($B19,Problems!$A$2:$A$24,0)),"")</f>
        <v/>
      </c>
    </row>
    <row r="20" ht="15" customHeight="1" s="27">
      <c r="A20" s="29" t="n">
        <v>6</v>
      </c>
      <c r="B20" s="32" t="n">
        <v>8</v>
      </c>
      <c r="C20" s="47">
        <f>IFERROR(INDEX(Problems!$C$2:$C$24,MATCH($B20,Problems!$A$2:$A$24,0)),"")</f>
        <v/>
      </c>
      <c r="D20" s="48">
        <f>IFERROR(INDEX(Problems!$H$2:$H$24,MATCH($B20,Problems!$A$2:$A$24,0)),"")</f>
        <v/>
      </c>
      <c r="E20" s="49">
        <f>IFERROR(INDEX(Problems!$J$2:$J$24,MATCH($B20,Problems!$A$2:$A$24,0)),"")</f>
        <v/>
      </c>
      <c r="F20" s="48">
        <f>IFERROR(INDEX(Problems!$L$2:$L$24,MATCH($B20,Problems!$A$2:$A$24,0)),"")</f>
        <v/>
      </c>
    </row>
    <row r="21" ht="15" customHeight="1" s="27">
      <c r="A21" s="29" t="n">
        <v>7</v>
      </c>
      <c r="B21" s="32" t="n">
        <v>6</v>
      </c>
      <c r="C21" s="47">
        <f>IFERROR(INDEX(Problems!$C$2:$C$24,MATCH($B21,Problems!$A$2:$A$24,0)),"")</f>
        <v/>
      </c>
      <c r="D21" s="48">
        <f>IFERROR(INDEX(Problems!$H$2:$H$24,MATCH($B21,Problems!$A$2:$A$24,0)),"")</f>
        <v/>
      </c>
      <c r="E21" s="49">
        <f>IFERROR(INDEX(Problems!$J$2:$J$24,MATCH($B21,Problems!$A$2:$A$24,0)),"")</f>
        <v/>
      </c>
      <c r="F21" s="48">
        <f>IFERROR(INDEX(Problems!$L$2:$L$24,MATCH($B21,Problems!$A$2:$A$24,0)),"")</f>
        <v/>
      </c>
    </row>
    <row r="22" ht="15" customHeight="1" s="27">
      <c r="A22" s="29" t="n">
        <v>8</v>
      </c>
      <c r="B22" s="32" t="n">
        <v>2</v>
      </c>
      <c r="C22" s="47">
        <f>IFERROR(INDEX(Problems!$C$2:$C$24,MATCH($B22,Problems!$A$2:$A$24,0)),"")</f>
        <v/>
      </c>
      <c r="D22" s="48">
        <f>IFERROR(INDEX(Problems!$H$2:$H$24,MATCH($B22,Problems!$A$2:$A$24,0)),"")</f>
        <v/>
      </c>
      <c r="E22" s="49">
        <f>IFERROR(INDEX(Problems!$J$2:$J$24,MATCH($B22,Problems!$A$2:$A$24,0)),"")</f>
        <v/>
      </c>
      <c r="F22" s="48">
        <f>IFERROR(INDEX(Problems!$L$2:$L$24,MATCH($B22,Problems!$A$2:$A$24,0)),"")</f>
        <v/>
      </c>
    </row>
    <row r="23" ht="15" customHeight="1" s="27">
      <c r="A23" s="29" t="n">
        <v>9</v>
      </c>
      <c r="B23" s="32" t="n">
        <v>4</v>
      </c>
      <c r="C23" s="47">
        <f>IFERROR(INDEX(Problems!$C$2:$C$24,MATCH($B23,Problems!$A$2:$A$24,0)),"")</f>
        <v/>
      </c>
      <c r="D23" s="48">
        <f>IFERROR(INDEX(Problems!$H$2:$H$24,MATCH($B23,Problems!$A$2:$A$24,0)),"")</f>
        <v/>
      </c>
      <c r="E23" s="49">
        <f>IFERROR(INDEX(Problems!$J$2:$J$24,MATCH($B23,Problems!$A$2:$A$24,0)),"")</f>
        <v/>
      </c>
      <c r="F23" s="48">
        <f>IFERROR(INDEX(Problems!$L$2:$L$24,MATCH($B23,Problems!$A$2:$A$24,0)),"")</f>
        <v/>
      </c>
    </row>
    <row r="24" ht="15" customHeight="1" s="27">
      <c r="A24" s="29" t="n">
        <v>10</v>
      </c>
      <c r="B24" s="32" t="n">
        <v>9</v>
      </c>
      <c r="C24" s="47">
        <f>IFERROR(INDEX(Problems!$C$2:$C$24,MATCH($B24,Problems!$A$2:$A$24,0)),"")</f>
        <v/>
      </c>
      <c r="D24" s="48">
        <f>IFERROR(INDEX(Problems!$H$2:$H$24,MATCH($B24,Problems!$A$2:$A$24,0)),"")</f>
        <v/>
      </c>
      <c r="E24" s="49">
        <f>IFERROR(INDEX(Problems!$J$2:$J$24,MATCH($B24,Problems!$A$2:$A$24,0)),"")</f>
        <v/>
      </c>
      <c r="F24" s="48">
        <f>IFERROR(INDEX(Problems!$L$2:$L$24,MATCH($B24,Problems!$A$2:$A$24,0)),"")</f>
        <v/>
      </c>
    </row>
    <row r="25" ht="15" customHeight="1" s="27">
      <c r="A25" s="29" t="n">
        <v>11</v>
      </c>
      <c r="B25" s="32" t="n">
        <v>12</v>
      </c>
      <c r="C25" s="47">
        <f>IFERROR(INDEX(Problems!$C$2:$C$24,MATCH($B25,Problems!$A$2:$A$24,0)),"")</f>
        <v/>
      </c>
      <c r="D25" s="48">
        <f>IFERROR(INDEX(Problems!$H$2:$H$24,MATCH($B25,Problems!$A$2:$A$24,0)),"")</f>
        <v/>
      </c>
      <c r="E25" s="49">
        <f>IFERROR(INDEX(Problems!$J$2:$J$24,MATCH($B25,Problems!$A$2:$A$24,0)),"")</f>
        <v/>
      </c>
      <c r="F25" s="48">
        <f>IFERROR(INDEX(Problems!$L$2:$L$24,MATCH($B25,Problems!$A$2:$A$24,0)),"")</f>
        <v/>
      </c>
    </row>
    <row r="26" ht="15" customHeight="1" s="27">
      <c r="A26" s="29" t="n">
        <v>12</v>
      </c>
      <c r="B26" s="32" t="n">
        <v>19</v>
      </c>
      <c r="C26" s="47">
        <f>IFERROR(INDEX(Problems!$C$2:$C$24,MATCH($B26,Problems!$A$2:$A$24,0)),"")</f>
        <v/>
      </c>
      <c r="D26" s="48">
        <f>IFERROR(INDEX(Problems!$H$2:$H$24,MATCH($B26,Problems!$A$2:$A$24,0)),"")</f>
        <v/>
      </c>
      <c r="E26" s="49">
        <f>IFERROR(INDEX(Problems!$J$2:$J$24,MATCH($B26,Problems!$A$2:$A$24,0)),"")</f>
        <v/>
      </c>
      <c r="F26" s="48">
        <f>IFERROR(INDEX(Problems!$L$2:$L$24,MATCH($B26,Problems!$A$2:$A$24,0)),"")</f>
        <v/>
      </c>
    </row>
    <row r="27" ht="15" customHeight="1" s="27">
      <c r="A27" s="29" t="n">
        <v>13</v>
      </c>
      <c r="B27" s="32" t="n">
        <v>11</v>
      </c>
      <c r="C27" s="47">
        <f>IFERROR(INDEX(Problems!$C$2:$C$24,MATCH($B27,Problems!$A$2:$A$24,0)),"")</f>
        <v/>
      </c>
      <c r="D27" s="48">
        <f>IFERROR(INDEX(Problems!$H$2:$H$24,MATCH($B27,Problems!$A$2:$A$24,0)),"")</f>
        <v/>
      </c>
      <c r="E27" s="49">
        <f>IFERROR(INDEX(Problems!$J$2:$J$24,MATCH($B27,Problems!$A$2:$A$24,0)),"")</f>
        <v/>
      </c>
      <c r="F27" s="48">
        <f>IFERROR(INDEX(Problems!$L$2:$L$24,MATCH($B27,Problems!$A$2:$A$24,0)),"")</f>
        <v/>
      </c>
    </row>
    <row r="28" ht="15" customHeight="1" s="27">
      <c r="A28" s="29" t="n">
        <v>14</v>
      </c>
      <c r="B28" s="32" t="n">
        <v>21</v>
      </c>
      <c r="C28" s="47">
        <f>IFERROR(INDEX(Problems!$C$2:$C$24,MATCH($B28,Problems!$A$2:$A$24,0)),"")</f>
        <v/>
      </c>
      <c r="D28" s="48">
        <f>IFERROR(INDEX(Problems!$H$2:$H$24,MATCH($B28,Problems!$A$2:$A$24,0)),"")</f>
        <v/>
      </c>
      <c r="E28" s="49">
        <f>IFERROR(INDEX(Problems!$J$2:$J$24,MATCH($B28,Problems!$A$2:$A$24,0)),"")</f>
        <v/>
      </c>
      <c r="F28" s="48">
        <f>IFERROR(INDEX(Problems!$L$2:$L$24,MATCH($B28,Problems!$A$2:$A$24,0)),"")</f>
        <v/>
      </c>
    </row>
    <row r="29" ht="15" customHeight="1" s="27">
      <c r="A29" s="29" t="n">
        <v>15</v>
      </c>
      <c r="B29" s="32" t="n">
        <v>20</v>
      </c>
      <c r="C29" s="47">
        <f>IFERROR(INDEX(Problems!$C$2:$C$24,MATCH($B29,Problems!$A$2:$A$24,0)),"")</f>
        <v/>
      </c>
      <c r="D29" s="48">
        <f>IFERROR(INDEX(Problems!$H$2:$H$24,MATCH($B29,Problems!$A$2:$A$24,0)),"")</f>
        <v/>
      </c>
      <c r="E29" s="49">
        <f>IFERROR(INDEX(Problems!$J$2:$J$24,MATCH($B29,Problems!$A$2:$A$24,0)),"")</f>
        <v/>
      </c>
      <c r="F29" s="48">
        <f>IFERROR(INDEX(Problems!$L$2:$L$24,MATCH($B29,Problems!$A$2:$A$24,0)),"")</f>
        <v/>
      </c>
    </row>
    <row r="30" ht="15" customHeight="1" s="27">
      <c r="A30" s="29" t="n">
        <v>16</v>
      </c>
      <c r="B30" s="32" t="n">
        <v>13</v>
      </c>
      <c r="C30" s="47">
        <f>IFERROR(INDEX(Problems!$C$2:$C$24,MATCH($B30,Problems!$A$2:$A$24,0)),"")</f>
        <v/>
      </c>
      <c r="D30" s="48">
        <f>IFERROR(INDEX(Problems!$H$2:$H$24,MATCH($B30,Problems!$A$2:$A$24,0)),"")</f>
        <v/>
      </c>
      <c r="E30" s="49">
        <f>IFERROR(INDEX(Problems!$J$2:$J$24,MATCH($B30,Problems!$A$2:$A$24,0)),"")</f>
        <v/>
      </c>
      <c r="F30" s="48">
        <f>IFERROR(INDEX(Problems!$L$2:$L$24,MATCH($B30,Problems!$A$2:$A$24,0)),"")</f>
        <v/>
      </c>
    </row>
    <row r="31" ht="15" customHeight="1" s="27">
      <c r="A31" s="29" t="n">
        <v>17</v>
      </c>
      <c r="B31" s="32" t="n">
        <v>14</v>
      </c>
      <c r="C31" s="47">
        <f>IFERROR(INDEX(Problems!$C$2:$C$24,MATCH($B31,Problems!$A$2:$A$24,0)),"")</f>
        <v/>
      </c>
      <c r="D31" s="48">
        <f>IFERROR(INDEX(Problems!$H$2:$H$24,MATCH($B31,Problems!$A$2:$A$24,0)),"")</f>
        <v/>
      </c>
      <c r="E31" s="49">
        <f>IFERROR(INDEX(Problems!$J$2:$J$24,MATCH($B31,Problems!$A$2:$A$24,0)),"")</f>
        <v/>
      </c>
      <c r="F31" s="48">
        <f>IFERROR(INDEX(Problems!$L$2:$L$24,MATCH($B31,Problems!$A$2:$A$24,0)),"")</f>
        <v/>
      </c>
    </row>
    <row r="32" ht="15" customHeight="1" s="27">
      <c r="A32" s="29" t="n">
        <v>18</v>
      </c>
      <c r="B32" s="32" t="n">
        <v>15</v>
      </c>
      <c r="C32" s="47">
        <f>IFERROR(INDEX(Problems!$C$2:$C$24,MATCH($B32,Problems!$A$2:$A$24,0)),"")</f>
        <v/>
      </c>
      <c r="D32" s="48">
        <f>IFERROR(INDEX(Problems!$H$2:$H$24,MATCH($B32,Problems!$A$2:$A$24,0)),"")</f>
        <v/>
      </c>
      <c r="E32" s="49">
        <f>IFERROR(INDEX(Problems!$J$2:$J$24,MATCH($B32,Problems!$A$2:$A$24,0)),"")</f>
        <v/>
      </c>
      <c r="F32" s="48">
        <f>IFERROR(INDEX(Problems!$L$2:$L$24,MATCH($B32,Problems!$A$2:$A$24,0)),"")</f>
        <v/>
      </c>
    </row>
    <row r="33" ht="15" customHeight="1" s="27">
      <c r="A33" s="29" t="n">
        <v>19</v>
      </c>
      <c r="B33" s="32" t="n">
        <v>16</v>
      </c>
      <c r="C33" s="47">
        <f>IFERROR(INDEX(Problems!$C$2:$C$24,MATCH($B33,Problems!$A$2:$A$24,0)),"")</f>
        <v/>
      </c>
      <c r="D33" s="48">
        <f>IFERROR(INDEX(Problems!$H$2:$H$24,MATCH($B33,Problems!$A$2:$A$24,0)),"")</f>
        <v/>
      </c>
      <c r="E33" s="49">
        <f>IFERROR(INDEX(Problems!$J$2:$J$24,MATCH($B33,Problems!$A$2:$A$24,0)),"")</f>
        <v/>
      </c>
      <c r="F33" s="48">
        <f>IFERROR(INDEX(Problems!$L$2:$L$24,MATCH($B33,Problems!$A$2:$A$24,0)),"")</f>
        <v/>
      </c>
    </row>
    <row r="34" ht="15" customHeight="1" s="27">
      <c r="A34" s="29" t="n">
        <v>20</v>
      </c>
      <c r="B34" s="32" t="n">
        <v>17</v>
      </c>
      <c r="C34" s="47">
        <f>IFERROR(INDEX(Problems!$C$2:$C$24,MATCH($B34,Problems!$A$2:$A$24,0)),"")</f>
        <v/>
      </c>
      <c r="D34" s="48">
        <f>IFERROR(INDEX(Problems!$H$2:$H$24,MATCH($B34,Problems!$A$2:$A$24,0)),"")</f>
        <v/>
      </c>
      <c r="E34" s="49">
        <f>IFERROR(INDEX(Problems!$J$2:$J$24,MATCH($B34,Problems!$A$2:$A$24,0)),"")</f>
        <v/>
      </c>
      <c r="F34" s="48">
        <f>IFERROR(INDEX(Problems!$L$2:$L$24,MATCH($B34,Problems!$A$2:$A$24,0)),"")</f>
        <v/>
      </c>
    </row>
    <row r="35" ht="15" customHeight="1" s="27">
      <c r="A35" s="29" t="n">
        <v>21</v>
      </c>
      <c r="B35" s="32" t="n">
        <v>18</v>
      </c>
      <c r="C35" s="47">
        <f>IFERROR(INDEX(Problems!$C$2:$C$24,MATCH($B35,Problems!$A$2:$A$24,0)),"")</f>
        <v/>
      </c>
      <c r="D35" s="48">
        <f>IFERROR(INDEX(Problems!$H$2:$H$24,MATCH($B35,Problems!$A$2:$A$24,0)),"")</f>
        <v/>
      </c>
      <c r="E35" s="49">
        <f>IFERROR(INDEX(Problems!$J$2:$J$24,MATCH($B35,Problems!$A$2:$A$24,0)),"")</f>
        <v/>
      </c>
      <c r="F35" s="48">
        <f>IFERROR(INDEX(Problems!$L$2:$L$24,MATCH($B35,Problems!$A$2:$A$24,0)),"")</f>
        <v/>
      </c>
    </row>
    <row r="36" ht="15" customHeight="1" s="27">
      <c r="A36" s="29" t="n">
        <v>22</v>
      </c>
      <c r="B36" s="32" t="n">
        <v>22</v>
      </c>
      <c r="C36" s="47">
        <f>IFERROR(INDEX(Problems!$C$2:$C$24,MATCH($B36,Problems!$A$2:$A$24,0)),"")</f>
        <v/>
      </c>
      <c r="D36" s="48">
        <f>IFERROR(INDEX(Problems!$H$2:$H$24,MATCH($B36,Problems!$A$2:$A$24,0)),"")</f>
        <v/>
      </c>
      <c r="E36" s="49">
        <f>IFERROR(INDEX(Problems!$J$2:$J$24,MATCH($B36,Problems!$A$2:$A$24,0)),"")</f>
        <v/>
      </c>
      <c r="F36" s="48">
        <f>IFERROR(INDEX(Problems!$L$2:$L$24,MATCH($B36,Problems!$A$2:$A$24,0)),"")</f>
        <v/>
      </c>
    </row>
    <row r="37" ht="15" customHeight="1" s="27">
      <c r="A37" s="29" t="n">
        <v>23</v>
      </c>
      <c r="B37" s="32" t="n">
        <v>23</v>
      </c>
      <c r="C37" s="47">
        <f>IFERROR(INDEX(Problems!$C$2:$C$24,MATCH($B37,Problems!$A$2:$A$24,0)),"")</f>
        <v/>
      </c>
      <c r="D37" s="48">
        <f>IFERROR(INDEX(Problems!$H$2:$H$24,MATCH($B37,Problems!$A$2:$A$24,0)),"")</f>
        <v/>
      </c>
      <c r="E37" s="49">
        <f>IFERROR(INDEX(Problems!$J$2:$J$24,MATCH($B37,Problems!$A$2:$A$24,0)),"")</f>
        <v/>
      </c>
      <c r="F37" s="48">
        <f>IFERROR(INDEX(Problems!$L$2:$L$24,MATCH($B37,Problems!$A$2:$A$24,0)),"")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864"/>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26" min="1" max="1"/>
    <col width="48" customWidth="1" style="26" min="2" max="2"/>
    <col width="34" customWidth="1" style="26" min="3" max="3"/>
    <col width="24" customWidth="1" style="26" min="4" max="4"/>
    <col width="14" customWidth="1" style="26" min="5" max="5"/>
    <col width="52" customWidth="1" style="26" min="6" max="6"/>
    <col width="11" customWidth="1" style="26" min="7" max="7"/>
    <col width="13" customWidth="1" style="26" min="8" max="8"/>
  </cols>
  <sheetData>
    <row r="1" ht="31.5" customHeight="1" s="27">
      <c r="A1" s="28" t="inlineStr">
        <is>
          <t>Read order</t>
        </is>
      </c>
      <c r="B1" s="28" t="inlineStr">
        <is>
          <t>Paper</t>
        </is>
      </c>
      <c r="C1" s="28" t="inlineStr">
        <is>
          <t>Authors / venue</t>
        </is>
      </c>
      <c r="D1" s="28" t="inlineStr">
        <is>
          <t>Link or id</t>
        </is>
      </c>
      <c r="E1" s="28" t="inlineStr">
        <is>
          <t>Relevant to problem IDs</t>
        </is>
      </c>
      <c r="F1" s="28" t="inlineStr">
        <is>
          <t>What to extract</t>
        </is>
      </c>
      <c r="G1" s="28" t="inlineStr">
        <is>
          <t>Overlap risk</t>
        </is>
      </c>
      <c r="H1" s="28" t="inlineStr">
        <is>
          <t>Read status</t>
        </is>
      </c>
    </row>
    <row r="2" ht="46.5" customHeight="1" s="27">
      <c r="A2" s="29" t="n">
        <v>1</v>
      </c>
      <c r="B2" s="31" t="inlineStr">
        <is>
          <t>Learning the exogenous rate but not the distance to criticality in nearly unstable heavy-tailed Hawkes processes</t>
        </is>
      </c>
      <c r="C2" s="30" t="inlineStr">
        <is>
          <t>Herrera-Marín, arXiv, Sept 2026 (unrefereed)</t>
        </is>
      </c>
      <c r="D2" s="30" t="inlineStr">
        <is>
          <t>arXiv 2609.38268</t>
        </is>
      </c>
      <c r="E2" s="29" t="inlineStr">
        <is>
          <t>9, 10, 11, 12</t>
        </is>
      </c>
      <c r="F2" s="30" t="inlineStr">
        <is>
          <t>Theorem 2.2 (kernel-agnostic KL bound), Theorem 4.1, Remark 4.8 (the half-open Feller-type dichotomy).</t>
        </is>
      </c>
      <c r="G2" s="29" t="inlineStr">
        <is>
          <t>High</t>
        </is>
      </c>
      <c r="H2" s="32" t="inlineStr">
        <is>
          <t>Read 25 Oct 2026 (full text). Thm 2.2, Cor 2.3, Thm 4.1, Rem 4.8 re-derived and tested numerically; overlap with C3 and the kappa&lt;=1 half of C4 confirmed. See literature_crosscheck.md.</t>
        </is>
      </c>
    </row>
    <row r="3" ht="33" customHeight="1" s="27">
      <c r="A3" s="29" t="n">
        <v>2</v>
      </c>
      <c r="B3" s="31" t="inlineStr">
        <is>
          <t>Minimax and adaptive inference for branching ratios under long memory</t>
        </is>
      </c>
      <c r="C3" s="30" t="inlineStr">
        <is>
          <t>Herrera-Marín, arXiv, Sept 2026 (unrefereed)</t>
        </is>
      </c>
      <c r="D3" s="30" t="inlineStr">
        <is>
          <t>arXiv 2609.38267</t>
        </is>
      </c>
      <c r="E3" s="29" t="inlineStr">
        <is>
          <t>16, 17, 18</t>
        </is>
      </c>
      <c r="F3" s="30" t="inlineStr">
        <is>
          <t>Section 5: pseudo-true branching ratio for sums of K exponentials, quadratic surrogate, flat directions.</t>
        </is>
      </c>
      <c r="G3" s="29" t="inlineStr">
        <is>
          <t>High</t>
        </is>
      </c>
      <c r="H3" s="32" t="inlineStr">
        <is>
          <t>Partly read 25 Oct 2026 (abstract, Sec 5, Sec 6.2 only). Thm 3.1 and its proof NOT checked.</t>
        </is>
      </c>
    </row>
    <row r="4" ht="33" customHeight="1" s="27">
      <c r="A4" s="29" t="n">
        <v>3</v>
      </c>
      <c r="B4" s="31" t="inlineStr">
        <is>
          <t>Tracking Dynamic Point Processes on Networks</t>
        </is>
      </c>
      <c r="C4" s="30" t="inlineStr">
        <is>
          <t>Hall and Willett, IEEE Trans. Inf. Theory 62(7), 2016</t>
        </is>
      </c>
      <c r="D4" s="30" t="inlineStr">
        <is>
          <t>arXiv 1409.0031</t>
        </is>
      </c>
      <c r="E4" s="29" t="inlineStr">
        <is>
          <t>5, 13, 21</t>
        </is>
      </c>
      <c r="F4" s="30" t="inlineStr">
        <is>
          <t>Dynamic mirror descent setup, √T tracking regret and its assumptions.</t>
        </is>
      </c>
      <c r="G4" s="29" t="inlineStr">
        <is>
          <t>Medium</t>
        </is>
      </c>
      <c r="H4" s="32" t="inlineStr">
        <is>
          <t>Partly read 25 Oct 2026 (Thm 1 statement, Appendix C parametrisation). Proof NOT checked.</t>
        </is>
      </c>
    </row>
    <row r="5" ht="33" customHeight="1" s="27">
      <c r="A5" s="29" t="n">
        <v>4</v>
      </c>
      <c r="B5" s="31" t="inlineStr">
        <is>
          <t>Online Learning for Multivariate Hawkes Processes</t>
        </is>
      </c>
      <c r="C5" s="30" t="inlineStr">
        <is>
          <t>Yang, Etesami, He, Kiyavash, NeurIPS 2017</t>
        </is>
      </c>
      <c r="D5" s="30" t="inlineStr">
        <is>
          <t>proceedings.neurips.cc (2017, paper 92a0e7a4…)</t>
        </is>
      </c>
      <c r="E5" s="29" t="inlineStr">
        <is>
          <t>5, 6, 21</t>
        </is>
      </c>
      <c r="F5" s="30" t="inlineStr">
        <is>
          <t>How log T is obtained (Tikhonov regularization, discretization, truncation) and what that costs.</t>
        </is>
      </c>
      <c r="G5" s="29" t="inlineStr">
        <is>
          <t>Medium</t>
        </is>
      </c>
      <c r="H5" s="32" t="inlineStr">
        <is>
          <t>Not read (the arXiv version in the next row was read instead).</t>
        </is>
      </c>
    </row>
    <row r="6" ht="33" customHeight="1" s="27">
      <c r="A6" s="29" t="n">
        <v>5</v>
      </c>
      <c r="B6" s="31" t="inlineStr">
        <is>
          <t>Nonparametric Hawkes Processes: Online Estimation and Generalization Bounds</t>
        </is>
      </c>
      <c r="C6" s="30" t="inlineStr">
        <is>
          <t>Yang, Etesami, He, Kiyavash, arXiv</t>
        </is>
      </c>
      <c r="D6" s="30" t="inlineStr">
        <is>
          <t>arXiv 1801.08273</t>
        </is>
      </c>
      <c r="E6" s="29" t="inlineStr">
        <is>
          <t>5, 6</t>
        </is>
      </c>
      <c r="F6" s="30" t="inlineStr">
        <is>
          <t>Journal-version regret and stability claims; marked extension.</t>
        </is>
      </c>
      <c r="G6" s="29" t="inlineStr">
        <is>
          <t>Medium</t>
        </is>
      </c>
      <c r="H6" s="32" t="inlineStr">
        <is>
          <t>Read 25 Oct 2026 (assumptions, eq. (8)-(9), Thm 2, Cor 1). Proof of Thm 2 only skimmed. See literature_crosscheck.md.</t>
        </is>
      </c>
    </row>
    <row r="7" ht="33" customHeight="1" s="27">
      <c r="A7" s="29" t="n">
        <v>6</v>
      </c>
      <c r="B7" s="31" t="inlineStr">
        <is>
          <t>Non-Negative Online Estimation for Hawkes Process Networks</t>
        </is>
      </c>
      <c r="C7" s="30" t="inlineStr">
        <is>
          <t>Piggott and Solo, ICASSP 2018, pp. 6333-6337 (listed earlier as "Solo")</t>
        </is>
      </c>
      <c r="D7" s="30" t="inlineStr">
        <is>
          <t>IEEE Xplore 8462138</t>
        </is>
      </c>
      <c r="E7" s="29" t="inlineStr">
        <is>
          <t>13, 15, 21</t>
        </is>
      </c>
      <c r="F7" s="30" t="inlineStr">
        <is>
          <t>Fixed-gain recursive estimator on an exponential-type basis; closest prior art for constant step size.</t>
        </is>
      </c>
      <c r="G7" s="29" t="inlineStr">
        <is>
          <t>High</t>
        </is>
      </c>
      <c r="H7" s="32" t="inlineStr">
        <is>
          <t>Reading: abstract read 25 Oct 2026 (via OpenAlex); full text NOT obtained. Fixed-gain exponentially weighted least squares on a Laguerre basis, non-negativity preserving, two time scales, simulations; abstract states no regret bound or near-critical analysis. See literature_search_report.md. Also: Pasha and Solo, CDC 2019, Adaptive Estimation of a Vector Point Process Model (abstract: fixed-gain adaptive estimator on the instantaneous likelihood, non-negativity constraints, genomic application). Full texts of both still not obtained.</t>
        </is>
      </c>
    </row>
    <row r="8" ht="33" customHeight="1" s="27">
      <c r="A8" s="29" t="n">
        <v>7</v>
      </c>
      <c r="B8" s="31" t="inlineStr">
        <is>
          <t>Hawkes Identification with a Prescribed Causal Basis</t>
        </is>
      </c>
      <c r="C8" s="30" t="inlineStr">
        <is>
          <t>Rong and Nair, arXiv, Feb 2026</t>
        </is>
      </c>
      <c r="D8" s="30" t="inlineStr">
        <is>
          <t>arXiv 2602.20795</t>
        </is>
      </c>
      <c r="E8" s="29" t="inlineStr">
        <is>
          <t>16, 17</t>
        </is>
      </c>
      <c r="F8" s="30" t="inlineStr">
        <is>
          <t>Pseudo-true parameters and CLTs under misspecification (least squares, batch).</t>
        </is>
      </c>
      <c r="G8" s="29" t="inlineStr">
        <is>
          <t>High</t>
        </is>
      </c>
      <c r="H8" s="32" t="inlineStr">
        <is>
          <t>Read 25 Oct 2026 (first ~200k of 213k characters of the HTML). Batch LS on a prescribed unit-mass basis; pseudo-true parameters via the LS contrast (Section 5.3, Thm 15) and CLTs under correct spec (Thm 17) and misspecification (Thm 21) by a martingale route with no mixing; numerics P=1..5 vs a sum-of-exponentials truth (no rate, no power law). No KL, no online, no proof of Gamma*&lt;1. May anticipate Prop 18.2 and the surrogate rate matching; route for the CLT item. See literature_difference_statements.md.</t>
        </is>
      </c>
    </row>
    <row r="9" ht="33" customHeight="1" s="27">
      <c r="A9" s="29" t="n">
        <v>8</v>
      </c>
      <c r="B9" s="31" t="inlineStr">
        <is>
          <t>A non-local estimator for locally stationary Hawkes processes</t>
        </is>
      </c>
      <c r="C9" s="30" t="inlineStr">
        <is>
          <t>Deschatre, Gruet, Lotz, arXiv, June 2025</t>
        </is>
      </c>
      <c r="D9" s="30" t="inlineStr">
        <is>
          <t>arXiv 2506.02631</t>
        </is>
      </c>
      <c r="E9" s="29" t="inlineStr">
        <is>
          <t>13, 14</t>
        </is>
      </c>
      <c r="F9" s="30" t="inlineStr">
        <is>
          <t>Batch MLE theory for time-varying baseline and reproduction rate.</t>
        </is>
      </c>
      <c r="G9" s="29" t="inlineStr">
        <is>
          <t>Medium</t>
        </is>
      </c>
      <c r="H9" s="32" t="inlineStr">
        <is>
          <t>Not started</t>
        </is>
      </c>
    </row>
    <row r="10" ht="33" customHeight="1" s="27">
      <c r="A10" s="29" t="n">
        <v>9</v>
      </c>
      <c r="B10" s="31" t="inlineStr">
        <is>
          <t>Limit theorems for nearly unstable Hawkes processes</t>
        </is>
      </c>
      <c r="C10" s="30" t="inlineStr">
        <is>
          <t>Jaisson and Rosenbaum, Ann. Appl. Probab. 25(2), 2015</t>
        </is>
      </c>
      <c r="D10" s="30" t="inlineStr">
        <is>
          <t>arXiv 1310.2033</t>
        </is>
      </c>
      <c r="E10" s="29" t="inlineStr">
        <is>
          <t>10, 11</t>
        </is>
      </c>
      <c r="F10" s="30" t="inlineStr">
        <is>
          <t>Integrated-CIR scaling limit when T(1−a_T) → λ; the starting point for the information analysis.</t>
        </is>
      </c>
      <c r="G10" s="29" t="inlineStr">
        <is>
          <t>Low</t>
        </is>
      </c>
      <c r="H10" s="32" t="inlineStr">
        <is>
          <t>Read 25 Oct 2026 (assumptions, Prop 2.1-2.2, Thm 2.2, heuristic derivation); tested against exact K=1 Hawkes. Proof NOT checked.</t>
        </is>
      </c>
    </row>
    <row r="11" ht="33" customHeight="1" s="27">
      <c r="A11" s="29" t="n">
        <v>10</v>
      </c>
      <c r="B11" s="31" t="inlineStr">
        <is>
          <t>Logarithmic regret algorithms for online convex optimization</t>
        </is>
      </c>
      <c r="C11" s="30" t="inlineStr">
        <is>
          <t>Hazan, Agarwal, Kale, Machine Learning 69, 2007</t>
        </is>
      </c>
      <c r="D11" s="30" t="inlineStr">
        <is>
          <t>ONS reference</t>
        </is>
      </c>
      <c r="E11" s="29" t="inlineStr">
        <is>
          <t>5, 6</t>
        </is>
      </c>
      <c r="F11" s="30" t="inlineStr">
        <is>
          <t>ONS analysis and where exp-concavity is used, to see exactly what must be replaced.</t>
        </is>
      </c>
      <c r="G11" s="29" t="inlineStr">
        <is>
          <t>Low</t>
        </is>
      </c>
      <c r="H11" s="32" t="inlineStr">
        <is>
          <t>Original returned HTTP 403. Read Hazan's monograph arXiv 1909.05207 Sec 4.2/4.4 instead (criterion, Thm 4.5 statement); proof not re-derived.</t>
        </is>
      </c>
    </row>
    <row r="12" ht="33" customHeight="1" s="27">
      <c r="A12" s="29" t="n">
        <v>11</v>
      </c>
      <c r="B12" s="31" t="inlineStr">
        <is>
          <t>Functional limit theorems for Hawkes processes</t>
        </is>
      </c>
      <c r="C12" s="30" t="inlineStr">
        <is>
          <t>Horst and Xu, arXiv, 2024</t>
        </is>
      </c>
      <c r="D12" s="30" t="inlineStr">
        <is>
          <t>arXiv 2401.11495</t>
        </is>
      </c>
      <c r="E12" s="29" t="inlineStr">
        <is>
          <t>10, 11</t>
        </is>
      </c>
      <c r="F12" s="30" t="inlineStr">
        <is>
          <t>Critical Hawkes processes behave like CIR without mean reversion.</t>
        </is>
      </c>
      <c r="G12" s="29" t="inlineStr">
        <is>
          <t>Low</t>
        </is>
      </c>
      <c r="H12" s="32" t="inlineStr">
        <is>
          <t>Not started</t>
        </is>
      </c>
    </row>
    <row r="13" ht="33" customHeight="1" s="27">
      <c r="A13" s="29" t="n">
        <v>12</v>
      </c>
      <c r="B13" s="31" t="inlineStr">
        <is>
          <t>Change Point Detection and Mean-Field Dynamics of Variable Productivity Hawkes Processes</t>
        </is>
      </c>
      <c r="C13" s="30" t="inlineStr">
        <is>
          <t>Kresin, Baeumer, Phillips, arXiv, Dec 2025</t>
        </is>
      </c>
      <c r="D13" s="30" t="inlineStr">
        <is>
          <t>arXiv 2512.20068</t>
        </is>
      </c>
      <c r="E13" s="29" t="inlineStr">
        <is>
          <t>13, 14</t>
        </is>
      </c>
      <c r="F13" s="30" t="inlineStr">
        <is>
          <t>Post-change boundary-layer Fisher information; ingredient for the variance term in tracking.</t>
        </is>
      </c>
      <c r="G13" s="29" t="inlineStr">
        <is>
          <t>Medium</t>
        </is>
      </c>
      <c r="H13" s="32" t="inlineStr">
        <is>
          <t>Not started</t>
        </is>
      </c>
    </row>
    <row r="14" ht="33" customHeight="1" s="27">
      <c r="A14" s="29" t="n">
        <v>13</v>
      </c>
      <c r="B14" s="31" t="inlineStr">
        <is>
          <t>Markov approximation for controlled Hawkes jump-diffusions with general kernels</t>
        </is>
      </c>
      <c r="C14" s="30" t="inlineStr">
        <is>
          <t>Khabou and Talbi, arXiv, July 2025</t>
        </is>
      </c>
      <c r="D14" s="30" t="inlineStr">
        <is>
          <t>arXiv 2507.11294</t>
        </is>
      </c>
      <c r="E14" s="29" t="inlineStr">
        <is>
          <t>16, 17, 18</t>
        </is>
      </c>
      <c r="F14" s="30" t="inlineStr">
        <is>
          <t>Sums of exponentials as universal approximators; no statistics or K-rates.</t>
        </is>
      </c>
      <c r="G14" s="29" t="inlineStr">
        <is>
          <t>Low</t>
        </is>
      </c>
      <c r="H14" s="32" t="inlineStr">
        <is>
          <t>Not started</t>
        </is>
      </c>
    </row>
    <row r="15" ht="33" customHeight="1" s="27">
      <c r="A15" s="29" t="n">
        <v>14</v>
      </c>
      <c r="B15" s="31" t="inlineStr">
        <is>
          <t>Critical reflexivity in financial markets: a Hawkes process analysis</t>
        </is>
      </c>
      <c r="C15" s="30" t="inlineStr">
        <is>
          <t>Hardiman, Bercot, Bouchaud, arXiv</t>
        </is>
      </c>
      <c r="D15" s="30" t="inlineStr">
        <is>
          <t>arXiv 1302.1405</t>
        </is>
      </c>
      <c r="E15" s="29" t="inlineStr">
        <is>
          <t>18, 20</t>
        </is>
      </c>
      <c r="F15" s="30" t="inlineStr">
        <is>
          <t>Empirical bias of exponential fits to a power-law process.</t>
        </is>
      </c>
      <c r="G15" s="29" t="inlineStr">
        <is>
          <t>Low</t>
        </is>
      </c>
      <c r="H15" s="32" t="inlineStr">
        <is>
          <t>Not started</t>
        </is>
      </c>
    </row>
    <row r="16" ht="33" customHeight="1" s="27">
      <c r="A16" s="29" t="n">
        <v>15</v>
      </c>
      <c r="B16" s="31" t="inlineStr">
        <is>
          <t>The limits of statistical significance of Hawkes processes fitted to financial data</t>
        </is>
      </c>
      <c r="C16" s="30" t="inlineStr">
        <is>
          <t>Lallouache and Challet, Quantitative Finance 16(1), 2016</t>
        </is>
      </c>
      <c r="D16" s="30" t="inlineStr">
        <is>
          <t>arXiv 1406.3967</t>
        </is>
      </c>
      <c r="E16" s="29" t="inlineStr">
        <is>
          <t>18, 20</t>
        </is>
      </c>
      <c r="F16" s="30" t="inlineStr">
        <is>
          <t>How many exponentials real data supports; O(N) recursion for the likelihood.</t>
        </is>
      </c>
      <c r="G16" s="29" t="inlineStr">
        <is>
          <t>Low</t>
        </is>
      </c>
      <c r="H16" s="32" t="inlineStr">
        <is>
          <t>Not started</t>
        </is>
      </c>
    </row>
    <row r="17" ht="46.5" customHeight="1" s="27">
      <c r="A17" s="29" t="n">
        <v>16</v>
      </c>
      <c r="B17" s="31" t="inlineStr">
        <is>
          <t>Local asymptotic properties for Cox-Ingersoll-Ross process with discrete observations</t>
        </is>
      </c>
      <c r="C17" s="30" t="inlineStr">
        <is>
          <t>Ben Alaya, Kebaier, Tran, Scand. J. Stat. 47(4), 2020 (arXiv 1708.07070v5)</t>
        </is>
      </c>
      <c r="D17" s="30" t="inlineStr">
        <is>
          <t>arXiv 1708.07070</t>
        </is>
      </c>
      <c r="E17" s="29" t="inlineStr">
        <is>
          <t>11</t>
        </is>
      </c>
      <c r="F17" s="30" t="inlineStr">
        <is>
          <t>Tools for transferring CIR estimation theory to the Hawkes setting.</t>
        </is>
      </c>
      <c r="G17" s="29" t="inlineStr">
        <is>
          <t>Low</t>
        </is>
      </c>
      <c r="H17" s="32" t="inlineStr">
        <is>
          <t>Reading: intro, Thm 2.1, Cor 2.3 read 25 Oct 2026; proofs NOT read. Fixed sub/critical/supercritical regimes only; no local-to-critical (b=c/T) case. Thm 2.1 information matrix and Cor 2.3(i) critical coefficient match my K=1 Hawkes Fisher matrix and cold-start coefficient as eps-&gt;0 (lit_check_cir_fisher.py).</t>
        </is>
      </c>
    </row>
    <row r="18" ht="33" customHeight="1" s="27">
      <c r="A18" s="29" t="n">
        <v>17</v>
      </c>
      <c r="B18" s="31" t="inlineStr">
        <is>
          <t>Apparent criticality and calibration issues in the Hawkes self-excited point process model</t>
        </is>
      </c>
      <c r="C18" s="30" t="inlineStr">
        <is>
          <t>Filimonov and Sornette, arXiv</t>
        </is>
      </c>
      <c r="D18" s="30" t="inlineStr">
        <is>
          <t>arXiv 1308.6756</t>
        </is>
      </c>
      <c r="E18" s="29" t="inlineStr">
        <is>
          <t>20</t>
        </is>
      </c>
      <c r="F18" s="30" t="inlineStr">
        <is>
          <t>Regime shifts produce spurious n ≈ 1; relevant to real-data interpretation.</t>
        </is>
      </c>
      <c r="G18" s="29" t="inlineStr">
        <is>
          <t>Low</t>
        </is>
      </c>
      <c r="H18" s="32" t="inlineStr">
        <is>
          <t>Not started</t>
        </is>
      </c>
    </row>
    <row r="19" ht="33" customHeight="1" s="27">
      <c r="A19" s="29" t="n">
        <v>18</v>
      </c>
      <c r="B19" s="31" t="inlineStr">
        <is>
          <t>Sequential Change-Point Detection for Mutually Exciting Point Processes</t>
        </is>
      </c>
      <c r="C19" s="30" t="inlineStr">
        <is>
          <t>arXiv</t>
        </is>
      </c>
      <c r="D19" s="30" t="inlineStr">
        <is>
          <t>arXiv 2102.05724</t>
        </is>
      </c>
      <c r="E19" s="29" t="inlineStr">
        <is>
          <t>14</t>
        </is>
      </c>
      <c r="F19" s="30" t="inlineStr">
        <is>
          <t>CUSUM-type detection; pre-change parameters from batch MLE.</t>
        </is>
      </c>
      <c r="G19" s="29" t="inlineStr">
        <is>
          <t>Low</t>
        </is>
      </c>
      <c r="H19" s="32" t="inlineStr">
        <is>
          <t>Not started</t>
        </is>
      </c>
    </row>
    <row r="20" ht="33" customHeight="1" s="27">
      <c r="A20" s="29" t="inlineStr">
        <is>
          <t>-</t>
        </is>
      </c>
      <c r="B20" s="31" t="inlineStr">
        <is>
          <t>Zhang et al. 2023 online estimator; Wang et al. 2023 sequential estimator</t>
        </is>
      </c>
      <c r="C20" s="30" t="inlineStr">
        <is>
          <t>To check</t>
        </is>
      </c>
      <c r="D20" s="30" t="inlineStr">
        <is>
          <t>Search needed</t>
        </is>
      </c>
      <c r="E20" s="29" t="inlineStr">
        <is>
          <t>23</t>
        </is>
      </c>
      <c r="F20" s="30" t="inlineStr">
        <is>
          <t>Not verified. Could anticipate parts of the proposal.</t>
        </is>
      </c>
      <c r="G20" s="29" t="inlineStr">
        <is>
          <t>Unknown</t>
        </is>
      </c>
      <c r="H20" s="32" t="inlineStr">
        <is>
          <t>Searched 25 Oct 2026 (4 queries): no matching 2023 paper found; identity of the cited work unresolved. Wang et al. 2023 (Technometrics 65(1):44-56) is an online recursive CUSUM change-point detector, not an estimator. See literature_unverified_items.md.</t>
        </is>
      </c>
    </row>
    <row r="21" ht="33" customHeight="1" s="27">
      <c r="A21" s="29" t="inlineStr">
        <is>
          <t>-</t>
        </is>
      </c>
      <c r="B21" s="31" t="inlineStr">
        <is>
          <t>Online EM for Hawkes (Lemonnier and Vayatis; Zhou, Zha, Song)</t>
        </is>
      </c>
      <c r="C21" s="30" t="inlineStr">
        <is>
          <t>To check</t>
        </is>
      </c>
      <c r="D21" s="30" t="inlineStr">
        <is>
          <t>Search needed</t>
        </is>
      </c>
      <c r="E21" s="29" t="inlineStr">
        <is>
          <t>23</t>
        </is>
      </c>
      <c r="F21" s="30" t="inlineStr">
        <is>
          <t>Not verified.</t>
        </is>
      </c>
      <c r="G21" s="29" t="inlineStr">
        <is>
          <t>Low</t>
        </is>
      </c>
      <c r="H21" s="32" t="inlineStr">
        <is>
          <t>Searched 25 Oct 2026: no online EM for Hawkes found. Zhou-Zha-Song (AISTATS 2013, PMLR 31:641-649) is batch ADMM (ADM4). Lemonnier-Vayatis attribution NOT confirmed (search returned Lemonnier-Scaman-Kalogeratos, low-rank large-scale inference).</t>
        </is>
      </c>
    </row>
    <row r="22" ht="33" customHeight="1" s="27">
      <c r="A22" s="29" t="inlineStr">
        <is>
          <t>-</t>
        </is>
      </c>
      <c r="B22" s="31" t="inlineStr">
        <is>
          <t>Bacry, Muzy, Delattre, Hoffmann; Cartea, Cohen, Labyad (arXiv 2111.10637)</t>
        </is>
      </c>
      <c r="C22" s="30" t="inlineStr">
        <is>
          <t>To check</t>
        </is>
      </c>
      <c r="D22" s="30" t="inlineStr">
        <is>
          <t>Search needed</t>
        </is>
      </c>
      <c r="E22" s="29" t="inlineStr">
        <is>
          <t>23</t>
        </is>
      </c>
      <c r="F22" s="30" t="inlineStr">
        <is>
          <t>Not verified; SGD for Hawkes least-squares contrast.</t>
        </is>
      </c>
      <c r="G22" s="29" t="inlineStr">
        <is>
          <t>Low</t>
        </is>
      </c>
      <c r="H22" s="32" t="inlineStr">
        <is>
          <t>Searched 25 Oct 2026: Cartea-Cohen-Labyad (2111.10637) is a batch gradient method for the least-squares contrast (adaptive stratified sampling of the gradient); no regret/online/misspecification in the abstract. No Bacry et al. misspecification paper located.</t>
        </is>
      </c>
    </row>
    <row r="23" ht="33" customHeight="1" s="27">
      <c r="A23" s="29" t="inlineStr">
        <is>
          <t>-</t>
        </is>
      </c>
      <c r="B23" s="31" t="inlineStr">
        <is>
          <t>Citation trees of Yang et al. (2017) and Hall–Willett (2016)</t>
        </is>
      </c>
      <c r="C23" s="30" t="inlineStr">
        <is>
          <t>To check</t>
        </is>
      </c>
      <c r="D23" s="30" t="inlineStr">
        <is>
          <t>Google Scholar</t>
        </is>
      </c>
      <c r="E23" s="29" t="inlineStr">
        <is>
          <t>23</t>
        </is>
      </c>
      <c r="F23" s="30" t="inlineStr">
        <is>
          <t>Look for exponential-dictionary online estimation papers.</t>
        </is>
      </c>
      <c r="G23" s="29" t="inlineStr">
        <is>
          <t>Low</t>
        </is>
      </c>
      <c r="H23" s="32" t="inlineStr">
        <is>
          <t>Screened 25 Oct 2026 by titles: Hall-Willett tree 64 entries (Semantic Scholar), Yang et al. tree 26 entries (OpenAlex); second Semantic Scholar query rate-limited. Found: Pasha-Solo 2019, Lima 2021 (eps-margin stabilisation of parametric Hawkes MLE), Ghassemi et al. 2022 (online mixtures of MHP), Jaffard et al. 2024 (learning rule for Hawkes networks), Xu et al. 2018. None on misspecification or the near-critical ratio by title.</t>
        </is>
      </c>
    </row>
    <row r="24" ht="75" customHeight="1" s="27">
      <c r="A24" s="29" t="n">
        <v>19</v>
      </c>
      <c r="B24" s="31" t="inlineStr">
        <is>
          <t>Two methods of estimation of the drift parameters of the Cox-Ingersoll-Ross process: continuous observations</t>
        </is>
      </c>
      <c r="C24" s="30" t="inlineStr">
        <is>
          <t>Dehtiar, Mishura, Ralchenko, arXiv, May 2020</t>
        </is>
      </c>
      <c r="D24" s="30" t="inlineStr">
        <is>
          <t>arXiv 2005.05262</t>
        </is>
      </c>
      <c r="E24" s="29" t="inlineStr">
        <is>
          <t>10, 11</t>
        </is>
      </c>
      <c r="F24" s="30" t="inlineStr">
        <is>
          <t>MLE of (a,b) defined only for 2a &gt; sigma^2; stationary Gamma law of shape 2a/sigma^2; MLE formula uses int dr/r and int dt/r (denominator int r * int 1/r - T^2 mirrors det I_T).</t>
        </is>
      </c>
      <c r="G24" s="29" t="inlineStr">
        <is>
          <t>Medium</t>
        </is>
      </c>
      <c r="H24" s="32" t="inlineStr">
        <is>
          <t>Reading: abstract, Prop 1 and Section 3 read 25 Oct 2026; proofs and the alternative estimator not read.</t>
        </is>
      </c>
    </row>
    <row r="25" ht="75" customHeight="1" s="27">
      <c r="A25" s="29" t="n">
        <v>20</v>
      </c>
      <c r="B25" s="31" t="inlineStr">
        <is>
          <t>Near-Unit-Root Theory for Affine Processes</t>
        </is>
      </c>
      <c r="C25" s="30" t="inlineStr">
        <is>
          <t>Anne, Lu, Yu, Zhou, arXiv, 27 May 2026</t>
        </is>
      </c>
      <c r="D25" s="30" t="inlineStr">
        <is>
          <t>arXiv 2605.27859</t>
        </is>
      </c>
      <c r="E25" s="29" t="inlineStr">
        <is>
          <t>10, 11, 18</t>
        </is>
      </c>
      <c r="F25" s="30" t="inlineStr">
        <is>
          <t>CIR limit of local-to-unity discrete-time affine processes with a Feller remark (2mu &gt;= sigma^2); OLS intercept inconsistent in the local-to-unity regime. No Hawkes (0 hits), OLS only, no likelihood information or lower bound.</t>
        </is>
      </c>
      <c r="G25" s="29" t="inlineStr">
        <is>
          <t>Medium</t>
        </is>
      </c>
      <c r="H25" s="32" t="inlineStr">
        <is>
          <t>Reading: abstract, introduction, Thm 1 discussion and parts of Thm 3-4 read 25 Oct 2026 (71 pages, mostly unread).</t>
        </is>
      </c>
    </row>
    <row r="26" ht="75" customHeight="1" s="27">
      <c r="A26" s="29" t="n">
        <v>21</v>
      </c>
      <c r="B26" s="31" t="inlineStr">
        <is>
          <t>Asymptotics of nearly critical Galton-Watson processes with immigration</t>
        </is>
      </c>
      <c r="C26" s="30" t="inlineStr">
        <is>
          <t>Kevei, Acta Sci. Math. (Szeged) 77 (2011) 681-702</t>
        </is>
      </c>
      <c r="D26" s="30" t="inlineStr">
        <is>
          <t>arXiv 1107.2440</t>
        </is>
      </c>
      <c r="E26" s="29" t="inlineStr">
        <is>
          <t>11</t>
        </is>
      </c>
      <c r="F26" s="30" t="inlineStr">
        <is>
          <t>Limit laws: Poisson/compound Poisson when offspring second factorial moment / (1-rho_n) -&gt; 0, negative binomial (discrete Gamma) when it is of the same order. Distribution only, no estimation.</t>
        </is>
      </c>
      <c r="G26" s="29" t="inlineStr">
        <is>
          <t>Low</t>
        </is>
      </c>
      <c r="H26" s="32" t="inlineStr">
        <is>
          <t>Reading: abstract, introduction, Sections 2.1-2.2 discussion read 25 Oct 2026; proofs not read.</t>
        </is>
      </c>
    </row>
    <row r="27" ht="75" customHeight="1" s="27">
      <c r="A27" s="29" t="n">
        <v>22</v>
      </c>
      <c r="B27" s="31" t="inlineStr">
        <is>
          <t>A fluctuation limit theorem of branching processes with immigration and statistical applications</t>
        </is>
      </c>
      <c r="C27" s="30" t="inlineStr">
        <is>
          <t>Ma, arXiv, 2009</t>
        </is>
      </c>
      <c r="D27" s="30" t="inlineStr">
        <is>
          <t>arXiv 0906.2586</t>
        </is>
      </c>
      <c r="E27" s="29" t="inlineStr">
        <is>
          <t>11</t>
        </is>
      </c>
      <c r="F27" s="30" t="inlineStr">
        <is>
          <t>Survey of the CLSE literature for nearly critical GWI (Sriram 1994: branching-diffusion limit for positive variance; Ispany et al. 2005: n^{3/2} normal for vanishing variance); Thm 3.2: CLSE of (m_n, omega_n).</t>
        </is>
      </c>
      <c r="G27" s="29" t="inlineStr">
        <is>
          <t>Low</t>
        </is>
      </c>
      <c r="H27" s="32" t="inlineStr">
        <is>
          <t>Reading: abstract, introduction, Thm 3.2 read 25 Oct 2026; proofs not read.</t>
        </is>
      </c>
    </row>
    <row r="28" ht="75" customHeight="1" s="27">
      <c r="A28" s="29" t="n">
        <v>23</v>
      </c>
      <c r="B28" s="31" t="inlineStr">
        <is>
          <t>Discrete CLSE papers (abstracts only): Wei-Winnicki 1990; Ispany-Pap-van Zuijlen 2005; Li 2011</t>
        </is>
      </c>
      <c r="C28" s="30" t="inlineStr">
        <is>
          <t>Ann. Statist. 18 (1990); Adv. Appl. Probab. 37 (2005); Commun. Statist. Theory Methods (2011)</t>
        </is>
      </c>
      <c r="D28" s="30" t="inlineStr">
        <is>
          <t>DOI 10.1214/aos/1176347876; 10.1017/s000186780000029x; 10.1080/03610926.2010.500109</t>
        </is>
      </c>
      <c r="E28" s="29" t="inlineStr">
        <is>
          <t>11</t>
        </is>
      </c>
      <c r="F28" s="30" t="inlineStr">
        <is>
          <t>Li 2011: with non-zero initial values the CLSE of the immigration mean is not consistent (nearly critical Jirina). Wei-Winnicki abstract states only the aim; Herrera-Marin I attributes to them inconsistency of an immigration-mean estimator in the critical case: UNVERIFIED and in conflict with another summary.</t>
        </is>
      </c>
      <c r="G28" s="29" t="inlineStr">
        <is>
          <t>Low</t>
        </is>
      </c>
      <c r="H28" s="32" t="inlineStr">
        <is>
          <t>Reading: abstracts only (OpenAlex), 25 Oct 2026. Full texts not obtained.</t>
        </is>
      </c>
    </row>
    <row r="29" ht="75" customHeight="1" s="27">
      <c r="A29" s="29" t="n">
        <v>24</v>
      </c>
      <c r="B29" s="31" t="inlineStr">
        <is>
          <t>Regret / redundancy lower bounds: Rissanen 1984 (IEEE IT 30), Rissanen 1986 (Ann. Statist. 14), Merhav-Feder 1998 (IEEE IT 44)</t>
        </is>
      </c>
      <c r="C29" s="30" t="inlineStr">
        <is>
          <t>Rissanen; Merhav and Feder</t>
        </is>
      </c>
      <c r="D29" s="30" t="inlineStr">
        <is>
          <t>DOI 10.1109/TIT.1984.1056936; 10.1214/aos/1176350051; 10.1109/18.720534</t>
        </is>
      </c>
      <c r="E29" s="29" t="inlineStr">
        <is>
          <t>9, 5, 6</t>
        </is>
      </c>
      <c r="F29" s="30" t="inlineStr">
        <is>
          <t>Classical (d/2) log n-type lower bounds are for fixed parameters; no Hawkes- or point-process-specific minimax regret lower bound found; none for a triangular array with eps -&gt; 0.</t>
        </is>
      </c>
      <c r="G29" s="29" t="inlineStr">
        <is>
          <t>Unknown</t>
        </is>
      </c>
      <c r="H29" s="32" t="inlineStr">
        <is>
          <t>Reading: abstracts only; Merhav-Feder PDF host failed TLS verification (not bypassed). Hypotheses of the Rissanen theorems not checked.</t>
        </is>
      </c>
    </row>
    <row r="30" ht="46.5" customHeight="1" s="27">
      <c r="A30" s="29" t="inlineStr">
        <is>
          <t>25</t>
        </is>
      </c>
      <c r="B30" s="31" t="inlineStr">
        <is>
          <t>Goodness-of-Fit Test for Mismatched Self-Exciting Processes</t>
        </is>
      </c>
      <c r="C30" s="30" t="inlineStr">
        <is>
          <t>Wei, Zhu, Zhang, Xie, AISTATS 2021 (PMLR 130:1243-1251)</t>
        </is>
      </c>
      <c r="D30" s="30" t="inlineStr">
        <is>
          <t>arXiv 2006.09439</t>
        </is>
      </c>
      <c r="E30" s="29" t="inlineStr">
        <is>
          <t>16, 17</t>
        </is>
      </c>
      <c r="F30" s="30" t="inlineStr">
        <is>
          <t>QMLE theory under misspecification: KL pseudo-truth by concavity (Prop 2), a.s. convergence (Lemma 1), sandwich covariance.</t>
        </is>
      </c>
      <c r="G30" s="29" t="inlineStr">
        <is>
          <t>Medium</t>
        </is>
      </c>
      <c r="H30" s="32" t="inlineStr">
        <is>
          <t>Read 25 Oct 2026 (about 100k of 136k characters of ar5iv). Piecewise-constant triggering, batch, near-critical not analysed. Anticipates the generic part of Theorem 16 / Prop 16.7; not the exponential dictionary with stability set, rate matching, active constraint, online.</t>
        </is>
      </c>
    </row>
    <row r="31" ht="46.5" customHeight="1" s="27">
      <c r="A31" s="29" t="inlineStr">
        <is>
          <t>26</t>
        </is>
      </c>
      <c r="B31" s="31" t="inlineStr">
        <is>
          <t>Recursive parameter estimation for counting processes with linear intensity; Recursive approximate maximum likelihood estimation for a class of counting process models</t>
        </is>
      </c>
      <c r="C31" s="30" t="inlineStr">
        <is>
          <t>Spreij, Stochastics 18 (1986) 277-312; J. Multivariate Anal. 39 (1991) 236-245</t>
        </is>
      </c>
      <c r="D31" s="30" t="inlineStr">
        <is>
          <t>CWI R 8513 / ir.cwi.nl pub 2491, 6311; staff.fnwi.uva.nl/p.j.c.spreij</t>
        </is>
      </c>
      <c r="E31" s="29" t="inlineStr">
        <is>
          <t>17</t>
        </is>
      </c>
      <c r="F31" s="30" t="inlineStr">
        <is>
          <t>Recursive MLE-type estimators for intensities linear in theta: consistency and asymptotic normality by stochastic Lyapunov functions.</t>
        </is>
      </c>
      <c r="G31" s="29" t="inlineStr">
        <is>
          <t>High</t>
        </is>
      </c>
      <c r="H31" s="32" t="inlineStr">
        <is>
          <t>Abstract-level only (25 Oct 2026); the scans are image-only and were not OCRed. Likely anticipates the well-specified recursive consistency/CLT of Problem 17; misspecification, active constraint, regret, near-critical not known to be covered. Read first.</t>
        </is>
      </c>
    </row>
    <row r="32" ht="46.5" customHeight="1" s="27">
      <c r="A32" s="29" t="inlineStr">
        <is>
          <t>27</t>
        </is>
      </c>
      <c r="B32" s="31" t="inlineStr">
        <is>
          <t>Adaptive Estimation of a Vector Point Process Model</t>
        </is>
      </c>
      <c r="C32" s="30" t="inlineStr">
        <is>
          <t>Pasha and Solo, CDC 2019, pp. 2904-2909</t>
        </is>
      </c>
      <c r="D32" s="30" t="inlineStr">
        <is>
          <t>IEEE Xplore (dblp conf/cdc/PashaS19)</t>
        </is>
      </c>
      <c r="E32" s="29" t="inlineStr">
        <is>
          <t>13, 15, 21</t>
        </is>
      </c>
      <c r="F32" s="30" t="inlineStr">
        <is>
          <t>Fixed-gain adaptive estimator on the instantaneous likelihood of a log-intensity model with non-negativity constraints.</t>
        </is>
      </c>
      <c r="G32" s="29" t="inlineStr">
        <is>
          <t>Medium</t>
        </is>
      </c>
      <c r="H32" s="32" t="inlineStr">
        <is>
          <t>Abstract only (25 Oct 2026). Companion of the Piggott-Solo row.</t>
        </is>
      </c>
    </row>
    <row r="33" ht="46.5" customHeight="1" s="27">
      <c r="A33" s="29" t="inlineStr">
        <is>
          <t>28</t>
        </is>
      </c>
      <c r="B33" s="31" t="inlineStr">
        <is>
          <t>Fine-Grained epsilon-Margin Closed-Form Stabilization of Parametric Hawkes Processes</t>
        </is>
      </c>
      <c r="C33" s="30" t="inlineStr">
        <is>
          <t>Lima, arXiv, May 2021</t>
        </is>
      </c>
      <c r="D33" s="30" t="inlineStr">
        <is>
          <t>arXiv 2105.03800</t>
        </is>
      </c>
      <c r="E33" s="29" t="inlineStr">
        <is>
          <t>17</t>
        </is>
      </c>
      <c r="F33" s="30" t="inlineStr">
        <is>
          <t>Uses an epsilon margin on the stability condition to stabilise parametric MLE.</t>
        </is>
      </c>
      <c r="G33" s="29" t="inlineStr">
        <is>
          <t>Low</t>
        </is>
      </c>
      <c r="H33" s="32" t="inlineStr">
        <is>
          <t>Abstract only (25 Oct 2026). Anticipates the device n&lt;=1-eps, not the analysis.</t>
        </is>
      </c>
    </row>
    <row r="34" ht="46.5" customHeight="1" s="27">
      <c r="A34" s="29" t="inlineStr">
        <is>
          <t>29</t>
        </is>
      </c>
      <c r="B34" s="31" t="inlineStr">
        <is>
          <t>Gradient-based estimation of linear Hawkes processes with general kernels</t>
        </is>
      </c>
      <c r="C34" s="30" t="inlineStr">
        <is>
          <t>Cartea, Cohen, Labyad, arXiv Nov 2021</t>
        </is>
      </c>
      <c r="D34" s="30" t="inlineStr">
        <is>
          <t>arXiv 2111.10637</t>
        </is>
      </c>
      <c r="E34" s="29" t="inlineStr">
        <is>
          <t>5, 21</t>
        </is>
      </c>
      <c r="F34" s="30" t="inlineStr">
        <is>
          <t>Adaptive stratified sampling of the least-squares gradient for large datasets.</t>
        </is>
      </c>
      <c r="G34" s="29" t="inlineStr">
        <is>
          <t>Low</t>
        </is>
      </c>
      <c r="H34" s="32" t="inlineStr">
        <is>
          <t>Abstract only (25 Oct 2026). Batch LS, no regret.</t>
        </is>
      </c>
    </row>
    <row r="35" ht="46.5" customHeight="1" s="27">
      <c r="A35" s="29" t="inlineStr">
        <is>
          <t>30</t>
        </is>
      </c>
      <c r="B35" s="31" t="inlineStr">
        <is>
          <t>Online recursive CUSUM for Hawkes networks (Wang et al.)</t>
        </is>
      </c>
      <c r="C35" s="30" t="inlineStr">
        <is>
          <t>Wang, Xie, Xie, Cuozzo, Mak, Technometrics 65(1):44-56 (2023)</t>
        </is>
      </c>
      <c r="D35" s="30" t="inlineStr">
        <is>
          <t>DOI 10.1080/00401706.2022.2054862</t>
        </is>
      </c>
      <c r="E35" s="29" t="inlineStr">
        <is>
          <t>14, 20</t>
        </is>
      </c>
      <c r="F35" s="30" t="inlineStr">
        <is>
          <t>Online change-point detection for Hawkes networks.</t>
        </is>
      </c>
      <c r="G35" s="29" t="inlineStr">
        <is>
          <t>Low</t>
        </is>
      </c>
      <c r="H35" s="32" t="inlineStr">
        <is>
          <t>Abstract only (25 Oct 2026). Detection, not estimation.</t>
        </is>
      </c>
    </row>
    <row r="36" ht="46.5" customHeight="1" s="27">
      <c r="A36" s="29" t="inlineStr">
        <is>
          <t>31</t>
        </is>
      </c>
      <c r="B36" s="31" t="inlineStr">
        <is>
          <t>Provable local learning rule by expert aggregation for a Hawkes network</t>
        </is>
      </c>
      <c r="C36" s="30" t="inlineStr">
        <is>
          <t>Jaffard, Vaiter, Muzy, Reynaud-Bouret, AISTATS 2024</t>
        </is>
      </c>
      <c r="D36" s="30" t="inlineStr">
        <is>
          <t>arXiv 2304.08061</t>
        </is>
      </c>
      <c r="E36" s="29" t="inlineStr">
        <is>
          <t>-</t>
        </is>
      </c>
      <c r="F36" s="30" t="inlineStr">
        <is>
          <t>Hawkes network used as a classifier learned by expert aggregation; local regret bounds.</t>
        </is>
      </c>
      <c r="G36" s="29" t="inlineStr">
        <is>
          <t>Low</t>
        </is>
      </c>
      <c r="H36" s="32" t="inlineStr">
        <is>
          <t>Abstract only (25 Oct 2026). Not parametric estimation.</t>
        </is>
      </c>
    </row>
    <row r="37" ht="46.5" customHeight="1" s="27">
      <c r="A37" s="29" t="inlineStr">
        <is>
          <t>32</t>
        </is>
      </c>
      <c r="B37" s="31" t="inlineStr">
        <is>
          <t>Online Learning for Mixture of Multivariate Hawkes Processes</t>
        </is>
      </c>
      <c r="C37" s="30" t="inlineStr">
        <is>
          <t>Ghassemi et al., ICAIF 2022</t>
        </is>
      </c>
      <c r="D37" s="30" t="inlineStr">
        <is>
          <t>arXiv 2208.07961</t>
        </is>
      </c>
      <c r="E37" s="29" t="inlineStr">
        <is>
          <t>5</t>
        </is>
      </c>
      <c r="F37" s="30" t="inlineStr">
        <is>
          <t>Streaming mixtures of MHP.</t>
        </is>
      </c>
      <c r="G37" s="29" t="inlineStr">
        <is>
          <t>Low</t>
        </is>
      </c>
      <c r="H37" s="32" t="inlineStr">
        <is>
          <t>Title/abstract-level only (25 Oct 2026).</t>
        </is>
      </c>
    </row>
    <row r="38" ht="30" customHeight="1" s="27">
      <c r="B38" s="42" t="inlineStr">
        <is>
          <t>Details come from my research summary of 24 Oct 2026. Re-check every claim against the primary source before citing. Herrera-Marín papers are unrefereed arXiv preprints. Overlap risk is my judgement. Updated 25 Oct 2026: rows 7 and 17 corrected, rows 24-29 added from literature_search_report.md; most new entries were read only in part (see Read status). Updated again 25 Oct 2026 (second pass): rows 25-32 added; Rong-Nair risk raised to High; the four to-check rows filled in (literature_unverified_items.md).</t>
        </is>
      </c>
    </row>
  </sheetData>
  <mergeCells count="1">
    <mergeCell ref="B31:F31"/>
  </mergeCells>
  <conditionalFormatting sqref="G2:G29">
    <cfRule type="cellIs" rank="0" priority="2" equalAverage="0" operator="equal" aboveAverage="0" dxfId="8" text="" percent="0" bottom="0">
      <formula>"High"</formula>
    </cfRule>
  </conditionalFormatting>
  <dataValidations count="2">
    <dataValidation sqref="H2:H29" showDropDown="0" showInputMessage="0" showErrorMessage="0" allowBlank="0" type="list" errorStyle="stop" operator="between">
      <formula1>"Not started,Reading,Done"</formula1>
      <formula2>0</formula2>
    </dataValidation>
    <dataValidation sqref="G2:G29" showDropDown="0" showInputMessage="0" showErrorMessage="0" allowBlank="0" type="list" errorStyle="stop" operator="between">
      <formula1>"High,Medium,Low,Unknown"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1F3864"/>
    <outlinePr summaryBelow="1" summaryRight="1"/>
    <pageSetUpPr fitToPage="0"/>
  </sheetPr>
  <dimension ref="A1:B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6" min="1" max="1"/>
    <col width="110" customWidth="1" style="26" min="2" max="2"/>
  </cols>
  <sheetData>
    <row r="1" ht="17.35" customHeight="1" s="27">
      <c r="A1" s="34" t="inlineStr">
        <is>
          <t>Research topic statement</t>
        </is>
      </c>
    </row>
    <row r="3" ht="33" customHeight="1" s="27">
      <c r="A3" s="50" t="inlineStr">
        <is>
          <t>Working title</t>
        </is>
      </c>
      <c r="B3" s="30" t="inlineStr">
        <is>
          <t>Online estimation of near-critical linear Hawkes processes with an exponential dictionary: regret, information limits and tracking as a function of the distance to criticality</t>
        </is>
      </c>
    </row>
    <row r="4" ht="19.5" customHeight="1" s="27">
      <c r="A4" s="50" t="inlineStr">
        <is>
          <t>Model</t>
        </is>
      </c>
      <c r="B4" s="30" t="inlineStr">
        <is>
          <t>λ_t(θ) = μ + Σ_k α_k S_k(t),   dS_k = −β_k S_k dt + dN_t,   n(θ) = Σ_k α_k/β_k,   with a fixed grid β_1 &lt; … &lt; β_K.</t>
        </is>
      </c>
    </row>
    <row r="5" ht="46.5" customHeight="1" s="27">
      <c r="A5" s="50" t="inlineStr">
        <is>
          <t>Problem</t>
        </is>
      </c>
      <c r="B5" s="30" t="inlineStr">
        <is>
          <t>Events arrive as a stream. The state (S_1, …, S_K) is exact and has O(K) size, with no truncation window. The goal is an estimator θ̂_i, updated per event, that is statistically sound even when the true branching ratio n is close to 1, which is where real financial order-flow fits land.</t>
        </is>
      </c>
    </row>
    <row r="6" ht="46.5" customHeight="1" s="27">
      <c r="A6" s="50" t="inlineStr">
        <is>
          <t>Gap</t>
        </is>
      </c>
      <c r="B6" s="30" t="inlineStr">
        <is>
          <t>Online Hawkes estimators exist (Hall–Willett, Yang et al., Solo), but their guarantees hide the dependence on ε = 1 − n inside constants. They are discretized or truncated, and none comes with a lower bound. Near-critical information limits are known for heavy-tailed kernels, but the light-tailed exponential case is open as a theorem.</t>
        </is>
      </c>
    </row>
    <row r="7" ht="33" customHeight="1" s="27">
      <c r="A7" s="50" t="inlineStr">
        <is>
          <t>One-sentence version</t>
        </is>
      </c>
      <c r="B7" s="30" t="inlineStr">
        <is>
          <t>We give the first estimator-level theory, with matching upper and lower bounds, for streaming estimation of light-tailed Hawkes processes as the branching ratio approaches 1.</t>
        </is>
      </c>
    </row>
    <row r="9" ht="15" customHeight="1" s="27">
      <c r="A9" s="36" t="inlineStr">
        <is>
          <t>Proposed contributions</t>
        </is>
      </c>
    </row>
    <row r="10" ht="46.5" customHeight="1" s="27">
      <c r="A10" s="50" t="inlineStr">
        <is>
          <t>C1: Curvature and algorithm</t>
        </is>
      </c>
      <c r="B10" s="30" t="inlineStr">
        <is>
          <t>Show that the per-event loss is convex in (μ, α) but not exp-concave, because its Hessian has rank one. Replace the adversarial ONS claim with a stochastic analysis, using Fisher-preconditioned online Newton or recursive MLE on Θ_ε with martingale concentration.</t>
        </is>
      </c>
    </row>
    <row r="11" ht="19.5" customHeight="1" s="27">
      <c r="A11" s="50" t="inlineStr">
        <is>
          <t>C2: ε-explicit upper bound</t>
        </is>
      </c>
      <c r="B11" s="30" t="inlineStr">
        <is>
          <t>Prove regret or estimation error of the form (d/2) log T + C log(1/ε) + burn-in(με), with d = K + 1.</t>
        </is>
      </c>
    </row>
    <row r="12" ht="19.5" customHeight="1" s="27">
      <c r="A12" s="50" t="inlineStr">
        <is>
          <t>C3: Matching lower bound</t>
        </is>
      </c>
      <c r="B12" s="30" t="inlineStr">
        <is>
          <t>A two-point argument based on KL ≲ δ² T μ (1−n), showing which directions are unlearnable when T μ (1−n) = O(1).</t>
        </is>
      </c>
    </row>
    <row r="13" ht="33" customHeight="1" s="27">
      <c r="A13" s="50" t="inlineStr">
        <is>
          <t>C4: Light-tailed information dichotomy</t>
        </is>
      </c>
      <c r="B13" s="30" t="inlineStr">
        <is>
          <t>Establish when baseline information diverges or stays bounded in the nearly unstable exponential regime (1−n_T ≍ T⁻¹), via the CIR scaling limit.</t>
        </is>
      </c>
    </row>
    <row r="14" ht="19.5" customHeight="1" s="27">
      <c r="A14" s="50" t="inlineStr">
        <is>
          <t>C5: Tracking under drift</t>
        </is>
      </c>
      <c r="B14" s="30" t="inlineStr">
        <is>
          <t>A bound of the form E‖θ̂_t − θ*_t‖² ≲ η σ²(ε) + Δ²/η² for constant step size η and drift rate Δ.</t>
        </is>
      </c>
    </row>
    <row r="15" ht="19.5" customHeight="1" s="27">
      <c r="A15" s="50" t="inlineStr">
        <is>
          <t>C6: Misspecification (corollary)</t>
        </is>
      </c>
      <c r="B15" s="30" t="inlineStr">
        <is>
          <t>Convergence to the KL pseudo-true parameter θ† when the true kernel is a power law, and the bias of n(θ†) as K grows.</t>
        </is>
      </c>
    </row>
    <row r="17" ht="30" customHeight="1" s="27">
      <c r="A17" s="42" t="inlineStr">
        <is>
          <t>Everything described as 'prove' is a target, not a result. C1 and C2 depend on a curvature argument that you should re-derive yourself; C4 depends on a conjecture that has not been verified.</t>
        </is>
      </c>
    </row>
  </sheetData>
  <mergeCells count="1">
    <mergeCell ref="A17:B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1F3864"/>
    <outlinePr summaryBelow="1" summaryRight="1"/>
    <pageSetUpPr fitToPage="0"/>
  </sheetPr>
  <dimension ref="A1:B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00" customWidth="1" style="26" min="2" max="2"/>
  </cols>
  <sheetData>
    <row r="1" ht="17.35" customHeight="1" s="27">
      <c r="A1" s="34" t="inlineStr">
        <is>
          <t>How to use this workbook</t>
        </is>
      </c>
    </row>
    <row r="3" ht="33" customHeight="1" s="27">
      <c r="A3" s="51" t="inlineStr">
        <is>
          <t>Blue text</t>
        </is>
      </c>
      <c r="B3" s="30" t="inlineStr">
        <is>
          <t>Cells you are meant to edit: Priority, Difficulty, Est. weeks, Status, Notes on the Problems sheet; Read status on the Literature sheet; the ID column in the Roadmap working order.</t>
        </is>
      </c>
    </row>
    <row r="4" ht="19.5" customHeight="1" s="27">
      <c r="A4" s="31" t="inlineStr">
        <is>
          <t>Black text</t>
        </is>
      </c>
      <c r="B4" s="30" t="inlineStr">
        <is>
          <t>Fixed content (problem descriptions, criteria for being done).</t>
        </is>
      </c>
    </row>
    <row r="5" ht="19.5" customHeight="1" s="27">
      <c r="A5" s="52" t="inlineStr">
        <is>
          <t>Green text</t>
        </is>
      </c>
      <c r="B5" s="30" t="inlineStr">
        <is>
          <t>Formulas that read from another sheet (Summary and Roadmap).</t>
        </is>
      </c>
    </row>
    <row r="6" ht="19.5" customHeight="1" s="27">
      <c r="A6" s="31" t="inlineStr">
        <is>
          <t>Status</t>
        </is>
      </c>
      <c r="B6" s="30" t="inlineStr">
        <is>
          <t>Not started, In progress, Blocked, Done. Pick from the dropdown; Summary and Roadmap update automatically.</t>
        </is>
      </c>
    </row>
    <row r="7" ht="33" customHeight="1" s="27">
      <c r="A7" s="31" t="inlineStr">
        <is>
          <t>Est. weeks</t>
        </is>
      </c>
      <c r="B7" s="30" t="inlineStr">
        <is>
          <t>My rough guess for one researcher working on that item alone. It is an assumption, not data. Overwrite with your own numbers.</t>
        </is>
      </c>
    </row>
    <row r="8" ht="19.5" customHeight="1" s="27">
      <c r="A8" s="31" t="inlineStr">
        <is>
          <t>Difficulty</t>
        </is>
      </c>
      <c r="B8" s="30" t="inlineStr">
        <is>
          <t>1 (routine) to 5 (open research problem). My judgement.</t>
        </is>
      </c>
    </row>
    <row r="9" ht="33" customHeight="1" s="27">
      <c r="A9" s="31" t="inlineStr">
        <is>
          <t>Priority</t>
        </is>
      </c>
      <c r="B9" s="30" t="inlineStr">
        <is>
          <t>Critical = decides whether the paper exists; High = needed for the main theorems; Medium = needed for completeness; Low = optional or second paper.</t>
        </is>
      </c>
    </row>
    <row r="10" ht="19.5" customHeight="1" s="27">
      <c r="A10" s="31" t="inlineStr">
        <is>
          <t>Contribution</t>
        </is>
      </c>
      <c r="B10" s="30" t="inlineStr">
        <is>
          <t>C1 to C6 refer to the contributions listed on the Topic sheet.</t>
        </is>
      </c>
    </row>
    <row r="11" ht="19.5" customHeight="1" s="27">
      <c r="A11" s="31" t="inlineStr">
        <is>
          <t>Depends on</t>
        </is>
      </c>
      <c r="B11" s="30" t="inlineStr">
        <is>
          <t>Problem IDs that should be finished, or at least understood, before this 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2026-10-24T12:50:24Z</dcterms:created>
  <dcterms:modified xsi:type="dcterms:W3CDTF">2026-10-25T11:45:26Z</dcterms:modified>
  <cp:revision>0</cp:revision>
</cp:coreProperties>
</file>